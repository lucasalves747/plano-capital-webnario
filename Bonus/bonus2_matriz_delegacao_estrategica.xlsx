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Instruções" sheetId="1" state="visible" r:id="rId1"/>
    <sheet name="📊 Inventário de Tempo" sheetId="2" state="visible" r:id="rId2"/>
    <sheet name="🎯 Matriz de Decisão" sheetId="3" state="visible" r:id="rId3"/>
    <sheet name="🚀 Plano de Ação" sheetId="4" state="visible" r:id="rId4"/>
  </sheets>
  <definedNames>
    <definedName name="_xlnm.Print_Area" localSheetId="0">'📋 Instruções'!$B$1:$H$26</definedName>
    <definedName name="_xlnm.Print_Area" localSheetId="1">'📊 Inventário de Tempo'!$A$1:$F$35</definedName>
    <definedName name="_xlnm.Print_Area" localSheetId="2">'🎯 Matriz de Decisão'!$A$1:$G$72</definedName>
    <definedName name="_xlnm.Print_Area" localSheetId="3">'🚀 Plano de Ação'!$A$1:$F$26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R$&quot; #,##0"/>
    <numFmt numFmtId="165" formatCode="&quot;R$&quot; #,##0.00"/>
    <numFmt numFmtId="166" formatCode="0.0"/>
    <numFmt numFmtId="167" formatCode="dd/mm/yyyy"/>
  </numFmts>
  <fonts count="31">
    <font>
      <name val="Calibri"/>
      <family val="2"/>
      <color theme="1"/>
      <sz val="11"/>
      <scheme val="minor"/>
    </font>
    <font>
      <name val="Calibri"/>
      <b val="1"/>
      <color rgb="008A7434"/>
      <sz val="8"/>
    </font>
    <font>
      <name val="Georgia"/>
      <b val="1"/>
      <color rgb="00C9A84C"/>
      <sz val="21"/>
    </font>
    <font>
      <name val="Calibri"/>
      <color rgb="00AEA99C"/>
      <sz val="9.5"/>
    </font>
    <font>
      <name val="Georgia"/>
      <i val="1"/>
      <color rgb="008A7434"/>
      <sz val="9.5"/>
    </font>
    <font>
      <name val="Georgia"/>
      <i val="1"/>
      <color rgb="00E8DCB4"/>
      <sz val="10"/>
    </font>
    <font>
      <name val="Calibri"/>
      <b val="1"/>
      <color rgb="00C9A84C"/>
      <sz val="10"/>
    </font>
    <font>
      <name val="Georgia"/>
      <b val="1"/>
      <color rgb="008A7434"/>
      <sz val="14"/>
    </font>
    <font>
      <name val="Calibri"/>
      <b val="1"/>
      <color rgb="008A7434"/>
      <sz val="8.5"/>
    </font>
    <font>
      <name val="Calibri"/>
      <b val="1"/>
      <color rgb="00FF9166"/>
      <sz val="9"/>
    </font>
    <font>
      <name val="Calibri"/>
      <color rgb="00AEA99C"/>
      <sz val="8.5"/>
    </font>
    <font>
      <name val="Calibri"/>
      <color rgb="0077726A"/>
      <sz val="8.5"/>
    </font>
    <font>
      <name val="Calibri"/>
      <b val="1"/>
      <color rgb="007FB4EE"/>
      <sz val="9"/>
    </font>
    <font>
      <name val="Calibri"/>
      <b val="1"/>
      <color rgb="00CE93E8"/>
      <sz val="9"/>
    </font>
    <font>
      <name val="Calibri"/>
      <b val="1"/>
      <color rgb="008BD08F"/>
      <sz val="9"/>
    </font>
    <font>
      <name val="Calibri"/>
      <color rgb="0077726A"/>
      <sz val="7.5"/>
    </font>
    <font>
      <name val="Georgia"/>
      <b val="1"/>
      <color rgb="00C9A84C"/>
      <sz val="16"/>
    </font>
    <font>
      <name val="Calibri"/>
      <b val="1"/>
      <color rgb="00F5F5F0"/>
      <sz val="10"/>
    </font>
    <font>
      <name val="Calibri"/>
      <b val="1"/>
      <color rgb="00C9A84C"/>
      <sz val="9.5"/>
    </font>
    <font>
      <name val="Georgia"/>
      <b val="1"/>
      <color rgb="00C9A84C"/>
      <sz val="13"/>
    </font>
    <font>
      <name val="Calibri"/>
      <i val="1"/>
      <color rgb="0077726A"/>
      <sz val="9"/>
    </font>
    <font>
      <name val="Calibri"/>
      <b val="1"/>
      <color rgb="00C9A84C"/>
      <sz val="8.5"/>
    </font>
    <font>
      <name val="Calibri"/>
      <color rgb="00F5F5F0"/>
      <sz val="9.5"/>
    </font>
    <font>
      <name val="Georgia"/>
      <b val="1"/>
      <color rgb="00C9A84C"/>
      <sz val="14"/>
    </font>
    <font>
      <name val="Calibri"/>
      <b val="1"/>
      <color rgb="0077726A"/>
      <sz val="8.5"/>
    </font>
    <font>
      <name val="Calibri"/>
      <b val="1"/>
      <color rgb="00E8DCB4"/>
      <sz val="9.5"/>
    </font>
    <font>
      <name val="Calibri"/>
      <color rgb="0077726A"/>
      <sz val="8"/>
    </font>
    <font>
      <name val="Calibri"/>
      <b val="1"/>
      <color rgb="0077726A"/>
      <sz val="9"/>
    </font>
    <font>
      <name val="Calibri"/>
      <b val="1"/>
      <color rgb="00C9A84C"/>
      <sz val="9"/>
    </font>
    <font>
      <name val="Georgia"/>
      <b val="1"/>
      <color rgb="00C9A84C"/>
      <sz val="15"/>
    </font>
    <font>
      <name val="Calibri"/>
      <i val="1"/>
      <color rgb="0077726A"/>
      <sz val="8.5"/>
    </font>
  </fonts>
  <fills count="10">
    <fill>
      <patternFill/>
    </fill>
    <fill>
      <patternFill patternType="gray125"/>
    </fill>
    <fill>
      <patternFill patternType="solid">
        <fgColor rgb="000A0A0A"/>
      </patternFill>
    </fill>
    <fill>
      <patternFill patternType="solid">
        <fgColor rgb="00060606"/>
      </patternFill>
    </fill>
    <fill>
      <patternFill patternType="solid">
        <fgColor rgb="00C9A84C"/>
      </patternFill>
    </fill>
    <fill>
      <patternFill patternType="solid">
        <fgColor rgb="001A1917"/>
      </patternFill>
    </fill>
    <fill>
      <patternFill patternType="solid">
        <fgColor rgb="00121110"/>
      </patternFill>
    </fill>
    <fill>
      <patternFill patternType="solid">
        <fgColor rgb="001F1E1A"/>
      </patternFill>
    </fill>
    <fill>
      <patternFill patternType="solid">
        <fgColor rgb="00111110"/>
      </patternFill>
    </fill>
    <fill>
      <patternFill patternType="solid">
        <fgColor rgb="00161614"/>
      </patternFill>
    </fill>
  </fills>
  <borders count="17">
    <border>
      <left/>
      <right/>
      <top/>
      <bottom/>
      <diagonal/>
    </border>
    <border>
      <left style="thick">
        <color rgb="00C9A84C"/>
      </left>
    </border>
    <border>
      <left style="thick">
        <color rgb="008A7434"/>
      </left>
    </border>
    <border>
      <bottom style="thin">
        <color rgb="00302C22"/>
      </bottom>
    </border>
    <border>
      <bottom style="thin">
        <color rgb="000A0A0A"/>
      </bottom>
    </border>
    <border>
      <left style="thick">
        <color rgb="00E8440A"/>
      </left>
      <bottom style="thin">
        <color rgb="000A0A0A"/>
      </bottom>
    </border>
    <border>
      <left style="thick">
        <color rgb="001565C0"/>
      </left>
      <bottom style="thin">
        <color rgb="000A0A0A"/>
      </bottom>
    </border>
    <border>
      <left style="thick">
        <color rgb="008E24AA"/>
      </left>
      <bottom style="thin">
        <color rgb="000A0A0A"/>
      </bottom>
    </border>
    <border>
      <left style="thick">
        <color rgb="002E7D32"/>
      </left>
      <bottom style="thin">
        <color rgb="000A0A0A"/>
      </bottom>
    </border>
    <border>
      <top style="thin">
        <color rgb="00302C22"/>
      </top>
    </border>
    <border>
      <left style="thin">
        <color rgb="00302C22"/>
      </left>
      <right style="thin">
        <color rgb="00302C22"/>
      </right>
      <top style="thin">
        <color rgb="00302C22"/>
      </top>
      <bottom style="thin">
        <color rgb="00302C22"/>
      </bottom>
    </border>
    <border>
      <left style="thin">
        <color rgb="008A7434"/>
      </left>
    </border>
    <border>
      <left style="thin">
        <color rgb="00060606"/>
      </left>
      <right style="thin">
        <color rgb="00060606"/>
      </right>
      <top style="thin">
        <color rgb="00060606"/>
      </top>
      <bottom style="medium">
        <color rgb="008A7434"/>
      </bottom>
    </border>
    <border>
      <top style="medium">
        <color rgb="008A7434"/>
      </top>
    </border>
    <border>
      <right style="thin">
        <color rgb="000A0A0A"/>
      </right>
    </border>
    <border/>
    <border>
      <left/>
      <right/>
      <top style="medium">
        <color rgb="008A7434"/>
      </top>
      <bottom/>
      <diagonal/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1" fillId="3" borderId="0" applyAlignment="1" pivotButton="0" quotePrefix="0" xfId="0">
      <alignment vertical="center" indent="1"/>
    </xf>
    <xf numFmtId="0" fontId="2" fillId="3" borderId="0" applyAlignment="1" pivotButton="0" quotePrefix="0" xfId="0">
      <alignment vertical="center" indent="1"/>
    </xf>
    <xf numFmtId="0" fontId="3" fillId="3" borderId="0" applyAlignment="1" pivotButton="0" quotePrefix="0" xfId="0">
      <alignment vertical="center" indent="1"/>
    </xf>
    <xf numFmtId="0" fontId="4" fillId="3" borderId="0" applyAlignment="1" pivotButton="0" quotePrefix="0" xfId="0">
      <alignment vertical="top" indent="1"/>
    </xf>
    <xf numFmtId="0" fontId="0" fillId="4" borderId="0" pivotButton="0" quotePrefix="0" xfId="0"/>
    <xf numFmtId="0" fontId="5" fillId="5" borderId="1" applyAlignment="1" pivotButton="0" quotePrefix="0" xfId="0">
      <alignment vertical="center" wrapText="1" indent="2"/>
    </xf>
    <xf numFmtId="0" fontId="0" fillId="5" borderId="0" pivotButton="0" quotePrefix="0" xfId="0"/>
    <xf numFmtId="0" fontId="7" fillId="5" borderId="2" applyAlignment="1" pivotButton="0" quotePrefix="0" xfId="0">
      <alignment horizontal="center" vertical="center"/>
    </xf>
    <xf numFmtId="0" fontId="6" fillId="5" borderId="0" applyAlignment="1" pivotButton="0" quotePrefix="0" xfId="0">
      <alignment vertical="center" indent="1"/>
    </xf>
    <xf numFmtId="0" fontId="0" fillId="5" borderId="2" pivotButton="0" quotePrefix="0" xfId="0"/>
    <xf numFmtId="0" fontId="3" fillId="5" borderId="0" applyAlignment="1" pivotButton="0" quotePrefix="0" xfId="0">
      <alignment vertical="top" wrapText="1" indent="1"/>
    </xf>
    <xf numFmtId="0" fontId="8" fillId="6" borderId="3" applyAlignment="1" pivotButton="0" quotePrefix="0" xfId="0">
      <alignment vertical="center" indent="1"/>
    </xf>
    <xf numFmtId="0" fontId="0" fillId="6" borderId="3" pivotButton="0" quotePrefix="0" xfId="0"/>
    <xf numFmtId="0" fontId="9" fillId="5" borderId="5" applyAlignment="1" pivotButton="0" quotePrefix="0" xfId="0">
      <alignment vertical="center" wrapText="1" indent="1"/>
    </xf>
    <xf numFmtId="0" fontId="0" fillId="5" borderId="4" pivotButton="0" quotePrefix="0" xfId="0"/>
    <xf numFmtId="0" fontId="10" fillId="5" borderId="4" applyAlignment="1" pivotButton="0" quotePrefix="0" xfId="0">
      <alignment vertical="center" wrapText="1" indent="1"/>
    </xf>
    <xf numFmtId="0" fontId="11" fillId="5" borderId="4" applyAlignment="1" pivotButton="0" quotePrefix="0" xfId="0">
      <alignment vertical="center" wrapText="1" indent="1"/>
    </xf>
    <xf numFmtId="0" fontId="12" fillId="5" borderId="6" applyAlignment="1" pivotButton="0" quotePrefix="0" xfId="0">
      <alignment vertical="center" wrapText="1" indent="1"/>
    </xf>
    <xf numFmtId="0" fontId="13" fillId="5" borderId="7" applyAlignment="1" pivotButton="0" quotePrefix="0" xfId="0">
      <alignment vertical="center" wrapText="1" indent="1"/>
    </xf>
    <xf numFmtId="0" fontId="14" fillId="5" borderId="8" applyAlignment="1" pivotButton="0" quotePrefix="0" xfId="0">
      <alignment vertical="center" wrapText="1" indent="1"/>
    </xf>
    <xf numFmtId="0" fontId="15" fillId="3" borderId="9" applyAlignment="1" pivotButton="0" quotePrefix="0" xfId="0">
      <alignment horizontal="center" vertical="center"/>
    </xf>
    <xf numFmtId="0" fontId="0" fillId="3" borderId="9" pivotButton="0" quotePrefix="0" xfId="0"/>
    <xf numFmtId="0" fontId="16" fillId="3" borderId="0" applyAlignment="1" pivotButton="0" quotePrefix="0" xfId="0">
      <alignment vertical="center" indent="1"/>
    </xf>
    <xf numFmtId="0" fontId="3" fillId="3" borderId="0" applyAlignment="1" pivotButton="0" quotePrefix="0" xfId="0">
      <alignment vertical="top" indent="1"/>
    </xf>
    <xf numFmtId="0" fontId="3" fillId="5" borderId="11" applyAlignment="1" pivotButton="0" quotePrefix="0" xfId="0">
      <alignment vertical="center" indent="1"/>
    </xf>
    <xf numFmtId="164" fontId="17" fillId="7" borderId="10" applyAlignment="1" pivotButton="0" quotePrefix="0" xfId="0">
      <alignment horizontal="center" vertical="center"/>
    </xf>
    <xf numFmtId="0" fontId="20" fillId="5" borderId="0" applyAlignment="1" pivotButton="0" quotePrefix="0" xfId="0">
      <alignment vertical="center" wrapText="1" indent="2"/>
    </xf>
    <xf numFmtId="1" fontId="17" fillId="7" borderId="10" applyAlignment="1" pivotButton="0" quotePrefix="0" xfId="0">
      <alignment horizontal="center" vertical="center"/>
    </xf>
    <xf numFmtId="0" fontId="18" fillId="5" borderId="1" applyAlignment="1" pivotButton="0" quotePrefix="0" xfId="0">
      <alignment vertical="center" indent="1"/>
    </xf>
    <xf numFmtId="165" fontId="19" fillId="3" borderId="10" applyAlignment="1" pivotButton="0" quotePrefix="0" xfId="0">
      <alignment horizontal="center" vertical="center"/>
    </xf>
    <xf numFmtId="0" fontId="21" fillId="3" borderId="12" applyAlignment="1" pivotButton="0" quotePrefix="0" xfId="0">
      <alignment horizontal="center" vertical="center" wrapText="1"/>
    </xf>
    <xf numFmtId="0" fontId="22" fillId="7" borderId="10" applyAlignment="1" pivotButton="0" quotePrefix="0" xfId="0">
      <alignment horizontal="left" vertical="center" indent="1"/>
    </xf>
    <xf numFmtId="166" fontId="22" fillId="7" borderId="10" applyAlignment="1" pivotButton="0" quotePrefix="0" xfId="0">
      <alignment horizontal="center" vertical="center"/>
    </xf>
    <xf numFmtId="0" fontId="22" fillId="7" borderId="10" applyAlignment="1" pivotButton="0" quotePrefix="0" xfId="0">
      <alignment horizontal="center" vertical="center"/>
    </xf>
    <xf numFmtId="0" fontId="18" fillId="3" borderId="13" applyAlignment="1" pivotButton="0" quotePrefix="0" xfId="0">
      <alignment vertical="center" indent="1"/>
    </xf>
    <xf numFmtId="166" fontId="23" fillId="3" borderId="13" applyAlignment="1" pivotButton="0" quotePrefix="0" xfId="0">
      <alignment horizontal="center" vertical="center"/>
    </xf>
    <xf numFmtId="0" fontId="11" fillId="3" borderId="13" applyAlignment="1" pivotButton="0" quotePrefix="0" xfId="0">
      <alignment horizontal="left" vertical="center"/>
    </xf>
    <xf numFmtId="0" fontId="0" fillId="3" borderId="13" pivotButton="0" quotePrefix="0" xfId="0"/>
    <xf numFmtId="0" fontId="24" fillId="3" borderId="13" applyAlignment="1" pivotButton="0" quotePrefix="0" xfId="0">
      <alignment horizontal="right" vertical="center"/>
    </xf>
    <xf numFmtId="0" fontId="25" fillId="3" borderId="13" applyAlignment="1" pivotButton="0" quotePrefix="0" xfId="0">
      <alignment horizontal="center" vertical="center"/>
    </xf>
    <xf numFmtId="0" fontId="0" fillId="5" borderId="14" pivotButton="0" quotePrefix="0" xfId="0"/>
    <xf numFmtId="0" fontId="26" fillId="5" borderId="2" applyAlignment="1" pivotButton="0" quotePrefix="0" xfId="0">
      <alignment horizontal="center" vertical="center"/>
    </xf>
    <xf numFmtId="166" fontId="2" fillId="5" borderId="2" applyAlignment="1" pivotButton="0" quotePrefix="0" xfId="0">
      <alignment horizontal="center" vertical="center"/>
    </xf>
    <xf numFmtId="9" fontId="2" fillId="5" borderId="2" applyAlignment="1" pivotButton="0" quotePrefix="0" xfId="0">
      <alignment horizontal="center" vertical="center"/>
    </xf>
    <xf numFmtId="164" fontId="2" fillId="5" borderId="2" applyAlignment="1" pivotButton="0" quotePrefix="0" xfId="0">
      <alignment horizontal="center" vertical="center"/>
    </xf>
    <xf numFmtId="0" fontId="10" fillId="5" borderId="2" applyAlignment="1" pivotButton="0" quotePrefix="0" xfId="0">
      <alignment horizontal="center" vertical="center"/>
    </xf>
    <xf numFmtId="0" fontId="3" fillId="8" borderId="10" applyAlignment="1" pivotButton="0" quotePrefix="0" xfId="0">
      <alignment horizontal="left" vertical="center" indent="1"/>
    </xf>
    <xf numFmtId="0" fontId="3" fillId="8" borderId="10" applyAlignment="1" pivotButton="0" quotePrefix="0" xfId="0">
      <alignment horizontal="center" vertical="center"/>
    </xf>
    <xf numFmtId="0" fontId="27" fillId="8" borderId="10" applyAlignment="1" pivotButton="0" quotePrefix="0" xfId="0">
      <alignment horizontal="center" vertical="center" wrapText="1"/>
    </xf>
    <xf numFmtId="166" fontId="0" fillId="2" borderId="0" pivotButton="0" quotePrefix="0" xfId="0"/>
    <xf numFmtId="0" fontId="3" fillId="9" borderId="10" applyAlignment="1" pivotButton="0" quotePrefix="0" xfId="0">
      <alignment horizontal="left" vertical="center" indent="1"/>
    </xf>
    <xf numFmtId="0" fontId="3" fillId="9" borderId="10" applyAlignment="1" pivotButton="0" quotePrefix="0" xfId="0">
      <alignment horizontal="center" vertical="center"/>
    </xf>
    <xf numFmtId="0" fontId="27" fillId="9" borderId="10" applyAlignment="1" pivotButton="0" quotePrefix="0" xfId="0">
      <alignment horizontal="center" vertical="center" wrapText="1"/>
    </xf>
    <xf numFmtId="0" fontId="21" fillId="2" borderId="15" applyAlignment="1" pivotButton="0" quotePrefix="0" xfId="0">
      <alignment horizontal="center" vertical="center" wrapText="1"/>
    </xf>
    <xf numFmtId="0" fontId="9" fillId="5" borderId="5" applyAlignment="1" pivotButton="0" quotePrefix="0" xfId="0">
      <alignment vertical="center" indent="1"/>
    </xf>
    <xf numFmtId="0" fontId="17" fillId="5" borderId="4" applyAlignment="1" pivotButton="0" quotePrefix="0" xfId="0">
      <alignment horizontal="center" vertical="center"/>
    </xf>
    <xf numFmtId="166" fontId="17" fillId="5" borderId="4" applyAlignment="1" pivotButton="0" quotePrefix="0" xfId="0">
      <alignment horizontal="center" vertical="center"/>
    </xf>
    <xf numFmtId="9" fontId="17" fillId="5" borderId="4" applyAlignment="1" pivotButton="0" quotePrefix="0" xfId="0">
      <alignment horizontal="center" vertical="center"/>
    </xf>
    <xf numFmtId="0" fontId="12" fillId="5" borderId="6" applyAlignment="1" pivotButton="0" quotePrefix="0" xfId="0">
      <alignment vertical="center" indent="1"/>
    </xf>
    <xf numFmtId="0" fontId="13" fillId="5" borderId="7" applyAlignment="1" pivotButton="0" quotePrefix="0" xfId="0">
      <alignment vertical="center" indent="1"/>
    </xf>
    <xf numFmtId="0" fontId="14" fillId="5" borderId="8" applyAlignment="1" pivotButton="0" quotePrefix="0" xfId="0">
      <alignment vertical="center" indent="1"/>
    </xf>
    <xf numFmtId="0" fontId="28" fillId="3" borderId="13" applyAlignment="1" pivotButton="0" quotePrefix="0" xfId="0">
      <alignment vertical="center" wrapText="1" indent="1"/>
    </xf>
    <xf numFmtId="0" fontId="0" fillId="0" borderId="16" pivotButton="0" quotePrefix="0" xfId="0"/>
    <xf numFmtId="166" fontId="29" fillId="3" borderId="13" applyAlignment="1" pivotButton="0" quotePrefix="0" xfId="0">
      <alignment horizontal="center" vertical="center"/>
    </xf>
    <xf numFmtId="9" fontId="29" fillId="3" borderId="13" applyAlignment="1" pivotButton="0" quotePrefix="0" xfId="0">
      <alignment horizontal="center" vertical="center"/>
    </xf>
    <xf numFmtId="0" fontId="30" fillId="3" borderId="13" applyAlignment="1" pivotButton="0" quotePrefix="0" xfId="0">
      <alignment vertical="center" indent="1"/>
    </xf>
    <xf numFmtId="167" fontId="22" fillId="7" borderId="10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7">
    <dxf>
      <font>
        <name val="Calibri"/>
        <b val="1"/>
        <color rgb="00CE93E8"/>
        <sz val="9.5"/>
      </font>
      <fill>
        <patternFill patternType="solid">
          <fgColor rgb="00200C2A"/>
        </patternFill>
      </fill>
    </dxf>
    <dxf>
      <font>
        <name val="Calibri"/>
        <b val="1"/>
        <color rgb="00FF9166"/>
        <sz val="9"/>
      </font>
      <fill>
        <patternFill patternType="solid">
          <fgColor rgb="002A1006"/>
        </patternFill>
      </fill>
    </dxf>
    <dxf>
      <font>
        <name val="Calibri"/>
        <b val="1"/>
        <color rgb="007FB4EE"/>
        <sz val="9"/>
      </font>
      <fill>
        <patternFill patternType="solid">
          <fgColor rgb="000A1C30"/>
        </patternFill>
      </fill>
    </dxf>
    <dxf>
      <font>
        <name val="Calibri"/>
        <b val="1"/>
        <color rgb="00CE93E8"/>
        <sz val="9"/>
      </font>
      <fill>
        <patternFill patternType="solid">
          <fgColor rgb="00200C2A"/>
        </patternFill>
      </fill>
    </dxf>
    <dxf>
      <font>
        <name val="Calibri"/>
        <b val="1"/>
        <color rgb="008BD08F"/>
        <sz val="9"/>
      </font>
      <fill>
        <patternFill patternType="solid">
          <fgColor rgb="000C1F0E"/>
        </patternFill>
      </fill>
    </dxf>
    <dxf>
      <font>
        <name val="Calibri"/>
        <b val="1"/>
        <color rgb="0077726A"/>
        <sz val="9"/>
      </font>
      <fill>
        <patternFill patternType="solid">
          <fgColor rgb="001F1E1A"/>
        </patternFill>
      </fill>
    </dxf>
    <dxf>
      <font>
        <name val="Calibri"/>
        <b val="1"/>
        <color rgb="00E8C55C"/>
        <sz val="9"/>
      </font>
      <fill>
        <patternFill patternType="solid">
          <fgColor rgb="002E240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000" b="1">
                <a:solidFill>
                  <a:srgbClr val="C9A84C"/>
                </a:solidFill>
              </a:defRPr>
            </a:pPr>
            <a:r>
              <a:rPr sz="1000" b="1">
                <a:solidFill>
                  <a:srgbClr val="C9A84C"/>
                </a:solidFill>
              </a:rPr>
              <a:t>DIVISÃO DO SEU TEMPO</a:t>
            </a:r>
          </a:p>
        </rich>
      </tx>
    </title>
    <plotArea>
      <doughnutChart>
        <varyColors val="1"/>
        <ser>
          <idx val="0"/>
          <order val="0"/>
          <tx>
            <strRef>
              <f>'🎯 Matriz de Decisão'!C44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E8440A"/>
              </a:solidFill>
              <a:ln w="12700">
                <a:solidFill>
                  <a:srgbClr val="0A0A0A"/>
                </a:solidFill>
                <a:prstDash val="solid"/>
              </a:ln>
            </spPr>
          </dPt>
          <dPt>
            <idx val="1"/>
            <spPr>
              <a:solidFill>
                <a:srgbClr val="1565C0"/>
              </a:solidFill>
              <a:ln w="12700">
                <a:solidFill>
                  <a:srgbClr val="0A0A0A"/>
                </a:solidFill>
                <a:prstDash val="solid"/>
              </a:ln>
            </spPr>
          </dPt>
          <dPt>
            <idx val="2"/>
            <spPr>
              <a:solidFill>
                <a:srgbClr val="8E24AA"/>
              </a:solidFill>
              <a:ln w="12700">
                <a:solidFill>
                  <a:srgbClr val="0A0A0A"/>
                </a:solidFill>
                <a:prstDash val="solid"/>
              </a:ln>
            </spPr>
          </dPt>
          <dPt>
            <idx val="3"/>
            <spPr>
              <a:solidFill>
                <a:srgbClr val="2E7D32"/>
              </a:solidFill>
              <a:ln w="12700">
                <a:solidFill>
                  <a:srgbClr val="0A0A0A"/>
                </a:solidFill>
                <a:prstDash val="solid"/>
              </a:ln>
            </spPr>
          </dPt>
          <cat>
            <strRef>
              <f>'🎯 Matriz de Decisão'!$A$45:$A$48</f>
            </strRef>
          </cat>
          <val>
            <numRef>
              <f>'🎯 Matriz de Decisão'!$C$45:$C$48</f>
            </numRef>
          </val>
        </ser>
        <dLbls>
          <txPr>
            <a:bodyPr/>
            <a:p>
              <a:pPr>
                <a:defRPr sz="900" b="1">
                  <a:solidFill>
                    <a:srgbClr val="F5F5F0"/>
                  </a:solidFill>
                </a:defRPr>
              </a:pPr>
              <a:r>
                <a:t/>
              </a:r>
              <a:endParaRPr sz="900" b="1">
                <a:solidFill>
                  <a:srgbClr val="F5F5F0"/>
                </a:solidFill>
              </a:endParaRPr>
            </a:p>
          </txPr>
          <showLegendKey val="0"/>
          <showVal val="0"/>
          <showCatName val="0"/>
          <showSerName val="0"/>
          <showPercent val="1"/>
        </dLbls>
        <firstSliceAng val="0"/>
        <holeSize val="58"/>
      </doughnutChart>
      <spPr>
        <a:noFill/>
        <a:ln>
          <a:prstDash val="solid"/>
        </a:ln>
      </spPr>
    </plotArea>
    <legend>
      <legendPos val="r"/>
      <spPr>
        <a:noFill/>
        <a:ln>
          <a:prstDash val="solid"/>
        </a:ln>
      </spPr>
      <txPr>
        <a:bodyPr/>
        <a:p>
          <a:pPr>
            <a:defRPr sz="850" b="0">
              <a:solidFill>
                <a:srgbClr val="AEA99C"/>
              </a:solidFill>
            </a:defRPr>
          </a:pPr>
          <a:r>
            <a:t/>
          </a:r>
          <a:endParaRPr sz="850" b="0">
            <a:solidFill>
              <a:srgbClr val="AEA99C"/>
            </a:solidFill>
          </a:endParaRPr>
        </a:p>
      </txPr>
    </legend>
    <plotVisOnly val="1"/>
    <dispBlanksAs val="gap"/>
  </chart>
  <spPr>
    <a:solidFill>
      <a:srgbClr val="1A1917"/>
    </a:solidFill>
    <a:ln>
      <a:solidFill>
        <a:srgbClr val="302C22"/>
      </a:solidFill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000" b="1">
                <a:solidFill>
                  <a:srgbClr val="C9A84C"/>
                </a:solidFill>
              </a:defRPr>
            </a:pPr>
            <a:r>
              <a:rPr sz="1000" b="1">
                <a:solidFill>
                  <a:srgbClr val="C9A84C"/>
                </a:solidFill>
              </a:rPr>
              <a:t>HORAS POR QUADRANTE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'🎯 Matriz de Decisão'!C44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E8440A"/>
              </a:solidFill>
              <a:ln w="12700">
                <a:solidFill>
                  <a:srgbClr val="0A0A0A"/>
                </a:solidFill>
                <a:prstDash val="solid"/>
              </a:ln>
            </spPr>
          </dPt>
          <dPt>
            <idx val="1"/>
            <spPr>
              <a:solidFill>
                <a:srgbClr val="1565C0"/>
              </a:solidFill>
              <a:ln w="12700">
                <a:solidFill>
                  <a:srgbClr val="0A0A0A"/>
                </a:solidFill>
                <a:prstDash val="solid"/>
              </a:ln>
            </spPr>
          </dPt>
          <dPt>
            <idx val="2"/>
            <spPr>
              <a:solidFill>
                <a:srgbClr val="8E24AA"/>
              </a:solidFill>
              <a:ln w="12700">
                <a:solidFill>
                  <a:srgbClr val="0A0A0A"/>
                </a:solidFill>
                <a:prstDash val="solid"/>
              </a:ln>
            </spPr>
          </dPt>
          <dPt>
            <idx val="3"/>
            <spPr>
              <a:solidFill>
                <a:srgbClr val="2E7D32"/>
              </a:solidFill>
              <a:ln w="12700">
                <a:solidFill>
                  <a:srgbClr val="0A0A0A"/>
                </a:solidFill>
                <a:prstDash val="solid"/>
              </a:ln>
            </spPr>
          </dPt>
          <cat>
            <strRef>
              <f>'🎯 Matriz de Decisão'!$A$45:$A$48</f>
            </strRef>
          </cat>
          <val>
            <numRef>
              <f>'🎯 Matriz de Decisão'!$C$45:$C$48</f>
            </numRef>
          </val>
        </ser>
        <dLbls>
          <txPr>
            <a:bodyPr/>
            <a:p>
              <a:pPr>
                <a:defRPr sz="900" b="1">
                  <a:solidFill>
                    <a:srgbClr val="F5F5F0"/>
                  </a:solidFill>
                </a:defRPr>
              </a:pPr>
              <a:r>
                <a:t/>
              </a:r>
              <a:endParaRPr sz="900" b="1">
                <a:solidFill>
                  <a:srgbClr val="F5F5F0"/>
                </a:solidFill>
              </a:endParaRPr>
            </a:p>
          </txPr>
          <showVal val="1"/>
        </dLbls>
        <gapWidth val="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spPr>
          <a:ln>
            <a:solidFill>
              <a:srgbClr val="302C22"/>
            </a:solidFill>
            <a:prstDash val="solid"/>
          </a:ln>
        </spPr>
        <txPr>
          <a:bodyPr/>
          <a:p>
            <a:pPr>
              <a:defRPr sz="850" b="0">
                <a:solidFill>
                  <a:srgbClr val="AEA99C"/>
                </a:solidFill>
              </a:defRPr>
            </a:pPr>
            <a:r>
              <a:t/>
            </a:r>
            <a:endParaRPr sz="850" b="0">
              <a:solidFill>
                <a:srgbClr val="AEA99C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spPr>
          <a:ln>
            <a:solidFill>
              <a:srgbClr val="302C22"/>
            </a:solidFill>
            <a:prstDash val="solid"/>
          </a:ln>
        </spPr>
        <txPr>
          <a:bodyPr/>
          <a:p>
            <a:pPr>
              <a:defRPr sz="850" b="0">
                <a:solidFill>
                  <a:srgbClr val="AEA99C"/>
                </a:solidFill>
              </a:defRPr>
            </a:pPr>
            <a:r>
              <a:t/>
            </a:r>
            <a:endParaRPr sz="850" b="0">
              <a:solidFill>
                <a:srgbClr val="AEA99C"/>
              </a:solidFill>
            </a:endParaRPr>
          </a:p>
        </txPr>
        <crossAx val="10"/>
      </valAx>
      <spPr>
        <a:noFill/>
        <a:ln>
          <a:prstDash val="solid"/>
        </a:ln>
      </spPr>
    </plotArea>
    <plotVisOnly val="1"/>
    <dispBlanksAs val="gap"/>
  </chart>
  <spPr>
    <a:solidFill>
      <a:srgbClr val="1A1917"/>
    </a:solidFill>
    <a:ln>
      <a:solidFill>
        <a:srgbClr val="302C22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52</row>
      <rowOff>0</rowOff>
    </from>
    <ext cx="3671999" cy="2951999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2</col>
      <colOff>0</colOff>
      <row>52</row>
      <rowOff>0</rowOff>
    </from>
    <ext cx="5220000" cy="2951999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C9A84C"/>
    <outlinePr summaryBelow="1" summaryRight="1"/>
    <pageSetUpPr fitToPage="1"/>
  </sheetPr>
  <dimension ref="A1:T8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13.5" customWidth="1" min="3" max="3"/>
    <col width="13.5" customWidth="1" min="4" max="4"/>
    <col width="13.5" customWidth="1" min="5" max="5"/>
    <col width="13.5" customWidth="1" min="6" max="6"/>
    <col width="13.5" customWidth="1" min="7" max="7"/>
    <col width="13.5" customWidth="1" min="8" max="8"/>
    <col width="3" customWidth="1" min="9" max="9"/>
  </cols>
  <sheetData>
    <row r="1" ht="14" customHeight="1">
      <c r="A1" s="1" t="n"/>
      <c r="B1" s="2" t="n"/>
      <c r="C1" s="2" t="n"/>
      <c r="D1" s="2" t="n"/>
      <c r="E1" s="2" t="n"/>
      <c r="F1" s="2" t="n"/>
      <c r="G1" s="2" t="n"/>
      <c r="H1" s="2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18" customHeight="1">
      <c r="A2" s="1" t="n"/>
      <c r="B2" s="3" t="inlineStr">
        <is>
          <t>BÔNUS 02  ·  FERRAMENTA EXCLUSIVA</t>
        </is>
      </c>
      <c r="C2" s="2" t="n"/>
      <c r="D2" s="2" t="n"/>
      <c r="E2" s="2" t="n"/>
      <c r="F2" s="2" t="n"/>
      <c r="G2" s="2" t="n"/>
      <c r="H2" s="2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</row>
    <row r="3" ht="38" customHeight="1">
      <c r="A3" s="1" t="n"/>
      <c r="B3" s="4" t="inlineStr">
        <is>
          <t>MATRIZ DE DELEGAÇÃO ESTRATÉGICA</t>
        </is>
      </c>
      <c r="C3" s="2" t="n"/>
      <c r="D3" s="2" t="n"/>
      <c r="E3" s="2" t="n"/>
      <c r="F3" s="2" t="n"/>
      <c r="G3" s="2" t="n"/>
      <c r="H3" s="2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</row>
    <row r="4" ht="18" customHeight="1">
      <c r="A4" s="1" t="n"/>
      <c r="B4" s="5" t="inlineStr">
        <is>
          <t>Plano Capital Business  ·  Hewerton Scheidegger</t>
        </is>
      </c>
      <c r="C4" s="2" t="n"/>
      <c r="D4" s="2" t="n"/>
      <c r="E4" s="2" t="n"/>
      <c r="F4" s="2" t="n"/>
      <c r="G4" s="2" t="n"/>
      <c r="H4" s="2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</row>
    <row r="5" ht="20" customHeight="1">
      <c r="A5" s="1" t="n"/>
      <c r="B5" s="6" t="inlineStr">
        <is>
          <t>“Você cresce, seus negócios crescem também.”</t>
        </is>
      </c>
      <c r="C5" s="2" t="n"/>
      <c r="D5" s="2" t="n"/>
      <c r="E5" s="2" t="n"/>
      <c r="F5" s="2" t="n"/>
      <c r="G5" s="2" t="n"/>
      <c r="H5" s="2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</row>
    <row r="6" ht="10" customHeight="1">
      <c r="A6" s="1" t="n"/>
      <c r="B6" s="2" t="n"/>
      <c r="C6" s="2" t="n"/>
      <c r="D6" s="2" t="n"/>
      <c r="E6" s="2" t="n"/>
      <c r="F6" s="2" t="n"/>
      <c r="G6" s="2" t="n"/>
      <c r="H6" s="2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</row>
    <row r="7" ht="3" customHeight="1">
      <c r="A7" s="1" t="n"/>
      <c r="B7" s="7" t="n"/>
      <c r="C7" s="7" t="n"/>
      <c r="D7" s="7" t="n"/>
      <c r="E7" s="7" t="n"/>
      <c r="F7" s="7" t="n"/>
      <c r="G7" s="7" t="n"/>
      <c r="H7" s="7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</row>
    <row r="8" ht="18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</row>
    <row r="9" ht="68" customHeight="1">
      <c r="A9" s="1" t="n"/>
      <c r="B9" s="8" t="inlineStr">
        <is>
          <t>"Você sabe exatamente quanto custa a sua hora de trabalho? Se você está realizando tarefas administrativas, operacionais ou de suporte, você está prestando um desserviço à sua empresa. Esta é a ferramenta exata que usamos para auditar a rotina de empresários que faturam milhões."</t>
        </is>
      </c>
      <c r="C9" s="9" t="n"/>
      <c r="D9" s="9" t="n"/>
      <c r="E9" s="9" t="n"/>
      <c r="F9" s="9" t="n"/>
      <c r="G9" s="9" t="n"/>
      <c r="H9" s="9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</row>
    <row r="10" ht="18" customHeight="1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</row>
    <row r="11" ht="26" customHeight="1">
      <c r="A11" s="1" t="n"/>
      <c r="B11" s="10" t="inlineStr">
        <is>
          <t>01</t>
        </is>
      </c>
      <c r="C11" s="11" t="inlineStr">
        <is>
          <t>PASSO 01 — ABA 'INVENTÁRIO DE TEMPO'</t>
        </is>
      </c>
      <c r="D11" s="9" t="n"/>
      <c r="E11" s="9" t="n"/>
      <c r="F11" s="9" t="n"/>
      <c r="G11" s="9" t="n"/>
      <c r="H11" s="9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</row>
    <row r="12" ht="46" customHeight="1">
      <c r="A12" s="1" t="n"/>
      <c r="B12" s="12" t="n"/>
      <c r="C12" s="13" t="inlineStr">
        <is>
          <t>Liste todas as atividades que você realizou na última semana de trabalho. Para cada atividade, informe o tempo gasto, o nível de complexidade e o valor gerado para o negócio. Seja honesto e detalhado — quanto mais preciso, mais revelador será o diagnóstico.</t>
        </is>
      </c>
      <c r="D12" s="9" t="n"/>
      <c r="E12" s="9" t="n"/>
      <c r="F12" s="9" t="n"/>
      <c r="G12" s="9" t="n"/>
      <c r="H12" s="9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</row>
    <row r="13" ht="16" customHeight="1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</row>
    <row r="14" ht="26" customHeight="1">
      <c r="A14" s="1" t="n"/>
      <c r="B14" s="10" t="inlineStr">
        <is>
          <t>02</t>
        </is>
      </c>
      <c r="C14" s="11" t="inlineStr">
        <is>
          <t>PASSO 02 — ABA 'MATRIZ DE DECISÃO'</t>
        </is>
      </c>
      <c r="D14" s="9" t="n"/>
      <c r="E14" s="9" t="n"/>
      <c r="F14" s="9" t="n"/>
      <c r="G14" s="9" t="n"/>
      <c r="H14" s="9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</row>
    <row r="15" ht="46" customHeight="1">
      <c r="A15" s="1" t="n"/>
      <c r="B15" s="12" t="n"/>
      <c r="C15" s="13" t="inlineStr">
        <is>
          <t>A matriz é preenchida automaticamente com base nos dados do Inventário. O quadrante automático categoriza cada tarefa em: ELIMINAR, AUTOMATIZAR, DELEGAR ou MANTER (Foco do CEO). O resultado vai te assustar — mas também vai te libertar.</t>
        </is>
      </c>
      <c r="D15" s="9" t="n"/>
      <c r="E15" s="9" t="n"/>
      <c r="F15" s="9" t="n"/>
      <c r="G15" s="9" t="n"/>
      <c r="H15" s="9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</row>
    <row r="16" ht="16" customHeight="1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</row>
    <row r="17" ht="26" customHeight="1">
      <c r="A17" s="1" t="n"/>
      <c r="B17" s="10" t="inlineStr">
        <is>
          <t>03</t>
        </is>
      </c>
      <c r="C17" s="11" t="inlineStr">
        <is>
          <t>PASSO 03 — ABA 'PLANO DE AÇÃO'</t>
        </is>
      </c>
      <c r="D17" s="9" t="n"/>
      <c r="E17" s="9" t="n"/>
      <c r="F17" s="9" t="n"/>
      <c r="G17" s="9" t="n"/>
      <c r="H17" s="9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</row>
    <row r="18" ht="46" customHeight="1">
      <c r="A18" s="1" t="n"/>
      <c r="B18" s="12" t="n"/>
      <c r="C18" s="13" t="inlineStr">
        <is>
          <t>Para cada tarefa categorizada como DELEGAR, preencha o plano de ação: quem assumirá a tarefa, o prazo para treinamento e o indicador de sucesso. Traga este plano preenchido para a masterclass do dia 1º de setembro.</t>
        </is>
      </c>
      <c r="D18" s="9" t="n"/>
      <c r="E18" s="9" t="n"/>
      <c r="F18" s="9" t="n"/>
      <c r="G18" s="9" t="n"/>
      <c r="H18" s="9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</row>
    <row r="19" ht="16" customHeight="1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</row>
    <row r="20" ht="22" customHeight="1">
      <c r="A20" s="1" t="n"/>
      <c r="B20" s="14" t="inlineStr">
        <is>
          <t>OS 4 QUADRANTES ESTRATÉGICOS</t>
        </is>
      </c>
      <c r="C20" s="15" t="n"/>
      <c r="D20" s="15" t="n"/>
      <c r="E20" s="15" t="n"/>
      <c r="F20" s="15" t="n"/>
      <c r="G20" s="15" t="n"/>
      <c r="H20" s="15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</row>
    <row r="21" ht="34" customHeight="1">
      <c r="A21" s="1" t="n"/>
      <c r="B21" s="16" t="inlineStr">
        <is>
          <t>ELIMINAR</t>
        </is>
      </c>
      <c r="C21" s="17" t="n"/>
      <c r="D21" s="18" t="inlineStr">
        <is>
          <t>Baixo valor + Baixa complexidade</t>
        </is>
      </c>
      <c r="E21" s="17" t="n"/>
      <c r="F21" s="19" t="inlineStr">
        <is>
          <t>Distrações que consomem tempo sem gerar resultado.</t>
        </is>
      </c>
      <c r="G21" s="17" t="n"/>
      <c r="H21" s="17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</row>
    <row r="22" ht="34" customHeight="1">
      <c r="A22" s="1" t="n"/>
      <c r="B22" s="20" t="inlineStr">
        <is>
          <t>AUTOMATIZAR</t>
        </is>
      </c>
      <c r="C22" s="17" t="n"/>
      <c r="D22" s="18" t="inlineStr">
        <is>
          <t>Alto valor + Baixa complexidade</t>
        </is>
      </c>
      <c r="E22" s="17" t="n"/>
      <c r="F22" s="19" t="inlineStr">
        <is>
          <t>Tarefas repetitivas e de alto valor que podem ser automatizadas.</t>
        </is>
      </c>
      <c r="G22" s="17" t="n"/>
      <c r="H22" s="17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</row>
    <row r="23" ht="34" customHeight="1">
      <c r="A23" s="1" t="n"/>
      <c r="B23" s="21" t="inlineStr">
        <is>
          <t>DELEGAR</t>
        </is>
      </c>
      <c r="C23" s="17" t="n"/>
      <c r="D23" s="18" t="inlineStr">
        <is>
          <t>Baixo valor + Alta complexidade</t>
        </is>
      </c>
      <c r="E23" s="17" t="n"/>
      <c r="F23" s="19" t="inlineStr">
        <is>
          <t>Tarefas técnicas que não exigem a presença do CEO.</t>
        </is>
      </c>
      <c r="G23" s="17" t="n"/>
      <c r="H23" s="17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</row>
    <row r="24" ht="34" customHeight="1">
      <c r="A24" s="1" t="n"/>
      <c r="B24" s="22" t="inlineStr">
        <is>
          <t>MANTER — FOCO DO CEO</t>
        </is>
      </c>
      <c r="C24" s="17" t="n"/>
      <c r="D24" s="18" t="inlineStr">
        <is>
          <t>Alto valor + Alta complexidade</t>
        </is>
      </c>
      <c r="E24" s="17" t="n"/>
      <c r="F24" s="19" t="inlineStr">
        <is>
          <t>Estratégia, visão, grandes negociações e decisões de alto impacto.</t>
        </is>
      </c>
      <c r="G24" s="17" t="n"/>
      <c r="H24" s="17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</row>
    <row r="25" ht="16" customHeight="1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</row>
    <row r="26" ht="24" customHeight="1">
      <c r="A26" s="1" t="n"/>
      <c r="B26" s="23" t="inlineStr">
        <is>
          <t>PLANO CAPITAL BUSINESS  ·  HEWERTON SCHEIDEGGER  ·  USO EXCLUSIVO DOS PARTICIPANTES</t>
        </is>
      </c>
      <c r="C26" s="24" t="n"/>
      <c r="D26" s="24" t="n"/>
      <c r="E26" s="24" t="n"/>
      <c r="F26" s="24" t="n"/>
      <c r="G26" s="24" t="n"/>
      <c r="H26" s="24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</row>
  </sheetData>
  <mergeCells count="29">
    <mergeCell ref="B9:H9"/>
    <mergeCell ref="B17:B18"/>
    <mergeCell ref="B11:B12"/>
    <mergeCell ref="B22:C22"/>
    <mergeCell ref="D22:E22"/>
    <mergeCell ref="C12:H12"/>
    <mergeCell ref="B5:H5"/>
    <mergeCell ref="B20:H20"/>
    <mergeCell ref="B14:B15"/>
    <mergeCell ref="D21:E21"/>
    <mergeCell ref="F23:H23"/>
    <mergeCell ref="C11:H11"/>
    <mergeCell ref="B21:C21"/>
    <mergeCell ref="F22:H22"/>
    <mergeCell ref="B26:H26"/>
    <mergeCell ref="B4:H4"/>
    <mergeCell ref="B23:C23"/>
    <mergeCell ref="B7:H7"/>
    <mergeCell ref="C17:H17"/>
    <mergeCell ref="B3:H3"/>
    <mergeCell ref="B2:H2"/>
    <mergeCell ref="C18:H18"/>
    <mergeCell ref="C15:H15"/>
    <mergeCell ref="B24:C24"/>
    <mergeCell ref="D24:E24"/>
    <mergeCell ref="C14:H14"/>
    <mergeCell ref="D23:E23"/>
    <mergeCell ref="F21:H21"/>
    <mergeCell ref="F24:H24"/>
  </mergeCells>
  <pageMargins left="0.4" right="0.4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C9A84C"/>
    <outlinePr summaryBelow="1" summaryRight="1"/>
    <pageSetUpPr fitToPage="1"/>
  </sheetPr>
  <dimension ref="A1:Q80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7" customWidth="1" min="3" max="3"/>
    <col width="17" customWidth="1" min="4" max="4"/>
    <col width="15" customWidth="1" min="5" max="5"/>
    <col width="30" customWidth="1" min="6" max="6"/>
  </cols>
  <sheetData>
    <row r="1" ht="12" customHeight="1">
      <c r="A1" s="2" t="n"/>
      <c r="B1" s="2" t="n"/>
      <c r="C1" s="2" t="n"/>
      <c r="D1" s="2" t="n"/>
      <c r="E1" s="2" t="n"/>
      <c r="F1" s="2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</row>
    <row r="2" ht="32" customHeight="1">
      <c r="A2" s="25" t="inlineStr">
        <is>
          <t>INVENTÁRIO DE TEMPO — O DIAGNÓSTICO</t>
        </is>
      </c>
      <c r="B2" s="2" t="n"/>
      <c r="C2" s="2" t="n"/>
      <c r="D2" s="2" t="n"/>
      <c r="E2" s="2" t="n"/>
      <c r="F2" s="2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</row>
    <row r="3" ht="18" customHeight="1">
      <c r="A3" s="26" t="inlineStr">
        <is>
          <t>Liste todas as atividades realizadas na última semana de trabalho</t>
        </is>
      </c>
      <c r="B3" s="2" t="n"/>
      <c r="C3" s="2" t="n"/>
      <c r="D3" s="2" t="n"/>
      <c r="E3" s="2" t="n"/>
      <c r="F3" s="2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</row>
    <row r="4" ht="8" customHeight="1">
      <c r="A4" s="2" t="n"/>
      <c r="B4" s="2" t="n"/>
      <c r="C4" s="2" t="n"/>
      <c r="D4" s="2" t="n"/>
      <c r="E4" s="2" t="n"/>
      <c r="F4" s="2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</row>
    <row r="5" ht="3" customHeight="1">
      <c r="A5" s="7" t="n"/>
      <c r="B5" s="7" t="n"/>
      <c r="C5" s="7" t="n"/>
      <c r="D5" s="7" t="n"/>
      <c r="E5" s="7" t="n"/>
      <c r="F5" s="7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</row>
    <row r="6" ht="14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</row>
    <row r="7" ht="22" customHeight="1">
      <c r="A7" s="14" t="inlineStr">
        <is>
          <t>SUA HORA VALE QUANTO?</t>
        </is>
      </c>
      <c r="B7" s="15" t="n"/>
      <c r="C7" s="15" t="n"/>
      <c r="D7" s="15" t="n"/>
      <c r="E7" s="15" t="n"/>
      <c r="F7" s="15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</row>
    <row r="8" ht="26" customHeight="1">
      <c r="A8" s="27" t="inlineStr">
        <is>
          <t>Faturamento mensal da empresa</t>
        </is>
      </c>
      <c r="B8" s="28" t="n"/>
      <c r="C8" s="29" t="inlineStr">
        <is>
          <t>Preencha os dois campos ao lado para a planilha calcular quanto custa cada hora sua.
Esse número alimenta o painel de impacto na aba Matriz de Decisão — e revela, em reais,
quanto você queima por mês executando tarefas que deveriam estar com outra pessoa.</t>
        </is>
      </c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</row>
    <row r="9" ht="26" customHeight="1">
      <c r="A9" s="27" t="inlineStr">
        <is>
          <t>Horas que você trabalha por mês</t>
        </is>
      </c>
      <c r="B9" s="30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</row>
    <row r="10" ht="26" customHeight="1">
      <c r="A10" s="31" t="inlineStr">
        <is>
          <t>VALOR DA SUA HORA</t>
        </is>
      </c>
      <c r="B10" s="32">
        <f>IF(OR($B$8="",$B$9="",$B$9=0),"",$B$8/$B$9)</f>
        <v/>
      </c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</row>
    <row r="11" ht="16" customHeight="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</row>
    <row r="12" ht="32" customHeight="1">
      <c r="A12" s="33" t="inlineStr">
        <is>
          <t>ATIVIDADE / TAREFA</t>
        </is>
      </c>
      <c r="B12" s="33" t="inlineStr">
        <is>
          <t>TEMPO GASTO
(horas)</t>
        </is>
      </c>
      <c r="C12" s="33" t="inlineStr">
        <is>
          <t>COMPLEXIDADE
(Baixo / Médio / Alto)</t>
        </is>
      </c>
      <c r="D12" s="33" t="inlineStr">
        <is>
          <t>VALOR GERADO
(Baixo / Médio / Alto)</t>
        </is>
      </c>
      <c r="E12" s="33" t="inlineStr">
        <is>
          <t>PODE SER
DELEGADA?</t>
        </is>
      </c>
      <c r="F12" s="33" t="inlineStr">
        <is>
          <t>OBSERVAÇÕES</t>
        </is>
      </c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</row>
    <row r="13" ht="20" customHeight="1">
      <c r="A13" s="34" t="n"/>
      <c r="B13" s="35" t="n"/>
      <c r="C13" s="36" t="n"/>
      <c r="D13" s="36" t="n"/>
      <c r="E13" s="36" t="n"/>
      <c r="F13" s="34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</row>
    <row r="14" ht="20" customHeight="1">
      <c r="A14" s="34" t="n"/>
      <c r="B14" s="35" t="n"/>
      <c r="C14" s="36" t="n"/>
      <c r="D14" s="36" t="n"/>
      <c r="E14" s="36" t="n"/>
      <c r="F14" s="34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</row>
    <row r="15" ht="20" customHeight="1">
      <c r="A15" s="34" t="n"/>
      <c r="B15" s="35" t="n"/>
      <c r="C15" s="36" t="n"/>
      <c r="D15" s="36" t="n"/>
      <c r="E15" s="36" t="n"/>
      <c r="F15" s="34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</row>
    <row r="16" ht="20" customHeight="1">
      <c r="A16" s="34" t="n"/>
      <c r="B16" s="35" t="n"/>
      <c r="C16" s="36" t="n"/>
      <c r="D16" s="36" t="n"/>
      <c r="E16" s="36" t="n"/>
      <c r="F16" s="34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</row>
    <row r="17" ht="20" customHeight="1">
      <c r="A17" s="34" t="n"/>
      <c r="B17" s="35" t="n"/>
      <c r="C17" s="36" t="n"/>
      <c r="D17" s="36" t="n"/>
      <c r="E17" s="36" t="n"/>
      <c r="F17" s="34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</row>
    <row r="18" ht="20" customHeight="1">
      <c r="A18" s="34" t="n"/>
      <c r="B18" s="35" t="n"/>
      <c r="C18" s="36" t="n"/>
      <c r="D18" s="36" t="n"/>
      <c r="E18" s="36" t="n"/>
      <c r="F18" s="34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</row>
    <row r="19" ht="20" customHeight="1">
      <c r="A19" s="34" t="n"/>
      <c r="B19" s="35" t="n"/>
      <c r="C19" s="36" t="n"/>
      <c r="D19" s="36" t="n"/>
      <c r="E19" s="36" t="n"/>
      <c r="F19" s="34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</row>
    <row r="20" ht="20" customHeight="1">
      <c r="A20" s="34" t="n"/>
      <c r="B20" s="35" t="n"/>
      <c r="C20" s="36" t="n"/>
      <c r="D20" s="36" t="n"/>
      <c r="E20" s="36" t="n"/>
      <c r="F20" s="34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</row>
    <row r="21" ht="20" customHeight="1">
      <c r="A21" s="34" t="n"/>
      <c r="B21" s="35" t="n"/>
      <c r="C21" s="36" t="n"/>
      <c r="D21" s="36" t="n"/>
      <c r="E21" s="36" t="n"/>
      <c r="F21" s="34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</row>
    <row r="22" ht="20" customHeight="1">
      <c r="A22" s="34" t="n"/>
      <c r="B22" s="35" t="n"/>
      <c r="C22" s="36" t="n"/>
      <c r="D22" s="36" t="n"/>
      <c r="E22" s="36" t="n"/>
      <c r="F22" s="34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</row>
    <row r="23" ht="20" customHeight="1">
      <c r="A23" s="34" t="n"/>
      <c r="B23" s="35" t="n"/>
      <c r="C23" s="36" t="n"/>
      <c r="D23" s="36" t="n"/>
      <c r="E23" s="36" t="n"/>
      <c r="F23" s="34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</row>
    <row r="24" ht="20" customHeight="1">
      <c r="A24" s="34" t="n"/>
      <c r="B24" s="35" t="n"/>
      <c r="C24" s="36" t="n"/>
      <c r="D24" s="36" t="n"/>
      <c r="E24" s="36" t="n"/>
      <c r="F24" s="34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</row>
    <row r="25" ht="20" customHeight="1">
      <c r="A25" s="34" t="n"/>
      <c r="B25" s="35" t="n"/>
      <c r="C25" s="36" t="n"/>
      <c r="D25" s="36" t="n"/>
      <c r="E25" s="36" t="n"/>
      <c r="F25" s="34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</row>
    <row r="26" ht="20" customHeight="1">
      <c r="A26" s="34" t="n"/>
      <c r="B26" s="35" t="n"/>
      <c r="C26" s="36" t="n"/>
      <c r="D26" s="36" t="n"/>
      <c r="E26" s="36" t="n"/>
      <c r="F26" s="34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</row>
    <row r="27" ht="20" customHeight="1">
      <c r="A27" s="34" t="n"/>
      <c r="B27" s="35" t="n"/>
      <c r="C27" s="36" t="n"/>
      <c r="D27" s="36" t="n"/>
      <c r="E27" s="36" t="n"/>
      <c r="F27" s="34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</row>
    <row r="28" ht="20" customHeight="1">
      <c r="A28" s="34" t="n"/>
      <c r="B28" s="35" t="n"/>
      <c r="C28" s="36" t="n"/>
      <c r="D28" s="36" t="n"/>
      <c r="E28" s="36" t="n"/>
      <c r="F28" s="34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</row>
    <row r="29" ht="20" customHeight="1">
      <c r="A29" s="34" t="n"/>
      <c r="B29" s="35" t="n"/>
      <c r="C29" s="36" t="n"/>
      <c r="D29" s="36" t="n"/>
      <c r="E29" s="36" t="n"/>
      <c r="F29" s="34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</row>
    <row r="30" ht="20" customHeight="1">
      <c r="A30" s="34" t="n"/>
      <c r="B30" s="35" t="n"/>
      <c r="C30" s="36" t="n"/>
      <c r="D30" s="36" t="n"/>
      <c r="E30" s="36" t="n"/>
      <c r="F30" s="34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</row>
    <row r="31" ht="20" customHeight="1">
      <c r="A31" s="34" t="n"/>
      <c r="B31" s="35" t="n"/>
      <c r="C31" s="36" t="n"/>
      <c r="D31" s="36" t="n"/>
      <c r="E31" s="36" t="n"/>
      <c r="F31" s="34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</row>
    <row r="32" ht="20" customHeight="1">
      <c r="A32" s="34" t="n"/>
      <c r="B32" s="35" t="n"/>
      <c r="C32" s="36" t="n"/>
      <c r="D32" s="36" t="n"/>
      <c r="E32" s="36" t="n"/>
      <c r="F32" s="34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</row>
    <row r="33" ht="28" customHeight="1">
      <c r="A33" s="37" t="inlineStr">
        <is>
          <t>TOTAL DE HORAS NA SEMANA</t>
        </is>
      </c>
      <c r="B33" s="38">
        <f>SUM(B13:B32)</f>
        <v/>
      </c>
      <c r="C33" s="39" t="inlineStr">
        <is>
          <t>horas</t>
        </is>
      </c>
      <c r="D33" s="40" t="n"/>
      <c r="E33" s="41" t="inlineStr">
        <is>
          <t>DELEGÁVEIS:</t>
        </is>
      </c>
      <c r="F33" s="42">
        <f>SUMIF(E13:E32,"Sim",B13:B32)&amp;" h de "&amp;SUM(B13:B32)&amp;" h"</f>
        <v/>
      </c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</row>
    <row r="34" ht="16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</row>
    <row r="35" ht="24" customHeight="1">
      <c r="A35" s="23" t="inlineStr">
        <is>
          <t>PLANO CAPITAL BUSINESS  ·  HEWERTON SCHEIDEGGER  ·  USO EXCLUSIVO DOS PARTICIPANTES</t>
        </is>
      </c>
      <c r="B35" s="24" t="n"/>
      <c r="C35" s="24" t="n"/>
      <c r="D35" s="24" t="n"/>
      <c r="E35" s="24" t="n"/>
      <c r="F35" s="24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</row>
  </sheetData>
  <mergeCells count="6">
    <mergeCell ref="A2:F2"/>
    <mergeCell ref="A5:F5"/>
    <mergeCell ref="C8:F10"/>
    <mergeCell ref="A35:F35"/>
    <mergeCell ref="A3:F3"/>
    <mergeCell ref="A7:F7"/>
  </mergeCells>
  <conditionalFormatting sqref="B13:B32">
    <cfRule type="dataBar" priority="1">
      <dataBar showValue="1">
        <cfvo type="num" val="0"/>
        <cfvo type="max"/>
        <color rgb="008A7434"/>
      </dataBar>
    </cfRule>
  </conditionalFormatting>
  <conditionalFormatting sqref="E13:E32">
    <cfRule type="cellIs" priority="2" operator="equal" dxfId="0">
      <formula>"Sim"</formula>
    </cfRule>
  </conditionalFormatting>
  <dataValidations count="3">
    <dataValidation sqref="C13:D32" showDropDown="0" showInputMessage="0" showErrorMessage="1" allowBlank="1" errorTitle="Valor inválido" error="Escolha: Baixo, Médio ou Alto." type="list">
      <formula1>"Baixo,Médio,Alto"</formula1>
    </dataValidation>
    <dataValidation sqref="E13:E32" showDropDown="0" showInputMessage="0" showErrorMessage="1" allowBlank="1" type="list">
      <formula1>"Sim,Não"</formula1>
    </dataValidation>
    <dataValidation sqref="B13:B32" showDropDown="0" showInputMessage="0" showErrorMessage="1" allowBlank="1" errorTitle="Horas inválidas" error="Informe as horas da semana (0 a 168)." type="decimal" operator="between">
      <formula1>0</formula1>
      <formula2>168</formula2>
    </dataValidation>
  </dataValidations>
  <pageMargins left="0.4" right="0.4" top="0.5" bottom="0.5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C9A84C"/>
    <outlinePr summaryBelow="1" summaryRight="1"/>
    <pageSetUpPr fitToPage="1"/>
  </sheetPr>
  <dimension ref="A1:R95"/>
  <sheetViews>
    <sheetView showGridLines="0" workbookViewId="0">
      <pane ySplit="21" topLeftCell="A22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8" customWidth="1" min="3" max="3"/>
    <col width="24" customWidth="1" min="4" max="4"/>
    <col width="26" customWidth="1" min="5" max="5"/>
    <col width="13" customWidth="1" min="6" max="6"/>
    <col width="20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</cols>
  <sheetData>
    <row r="1" ht="12" customHeight="1">
      <c r="A1" s="2" t="n"/>
      <c r="B1" s="2" t="n"/>
      <c r="C1" s="2" t="n"/>
      <c r="D1" s="2" t="n"/>
      <c r="E1" s="2" t="n"/>
      <c r="F1" s="2" t="n"/>
      <c r="G1" s="2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32" customHeight="1">
      <c r="A2" s="25" t="inlineStr">
        <is>
          <t>MATRIZ DE DECISÃO — O PROCESSAMENTO</t>
        </is>
      </c>
      <c r="B2" s="2" t="n"/>
      <c r="C2" s="2" t="n"/>
      <c r="D2" s="2" t="n"/>
      <c r="E2" s="2" t="n"/>
      <c r="F2" s="2" t="n"/>
      <c r="G2" s="2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</row>
    <row r="3" ht="18" customHeight="1">
      <c r="A3" s="26" t="inlineStr">
        <is>
          <t>Categorização automática das suas atividades em 4 quadrantes estratégicos</t>
        </is>
      </c>
      <c r="B3" s="2" t="n"/>
      <c r="C3" s="2" t="n"/>
      <c r="D3" s="2" t="n"/>
      <c r="E3" s="2" t="n"/>
      <c r="F3" s="2" t="n"/>
      <c r="G3" s="2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</row>
    <row r="4" ht="8" customHeight="1">
      <c r="A4" s="2" t="n"/>
      <c r="B4" s="2" t="n"/>
      <c r="C4" s="2" t="n"/>
      <c r="D4" s="2" t="n"/>
      <c r="E4" s="2" t="n"/>
      <c r="F4" s="2" t="n"/>
      <c r="G4" s="2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</row>
    <row r="5" ht="3" customHeight="1">
      <c r="A5" s="7" t="n"/>
      <c r="B5" s="7" t="n"/>
      <c r="C5" s="7" t="n"/>
      <c r="D5" s="7" t="n"/>
      <c r="E5" s="7" t="n"/>
      <c r="F5" s="7" t="n"/>
      <c r="G5" s="7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</row>
    <row r="6" ht="14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</row>
    <row r="7" ht="22" customHeight="1">
      <c r="A7" s="14" t="inlineStr">
        <is>
          <t>O IMPACTO EM NÚMEROS</t>
        </is>
      </c>
      <c r="B7" s="15" t="n"/>
      <c r="C7" s="15" t="n"/>
      <c r="D7" s="15" t="n"/>
      <c r="E7" s="15" t="n"/>
      <c r="F7" s="15" t="n"/>
      <c r="G7" s="15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</row>
    <row r="8" ht="8" customHeight="1">
      <c r="A8" s="12" t="n"/>
      <c r="B8" s="43" t="n"/>
      <c r="C8" s="12" t="n"/>
      <c r="D8" s="43" t="n"/>
      <c r="E8" s="12" t="n"/>
      <c r="F8" s="9" t="n"/>
      <c r="G8" s="43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</row>
    <row r="9" ht="16" customHeight="1">
      <c r="A9" s="44" t="inlineStr">
        <is>
          <t>HORAS POR SEMANA</t>
        </is>
      </c>
      <c r="B9" s="43" t="n"/>
      <c r="C9" s="44" t="inlineStr">
        <is>
          <t>DO SEU TEMPO</t>
        </is>
      </c>
      <c r="D9" s="43" t="n"/>
      <c r="E9" s="44" t="inlineStr">
        <is>
          <t>QUEIMADOS POR MÊS</t>
        </is>
      </c>
      <c r="F9" s="9" t="n"/>
      <c r="G9" s="43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</row>
    <row r="10" ht="34" customHeight="1">
      <c r="A10" s="45">
        <f>SUM($C$45:$C$47)</f>
        <v/>
      </c>
      <c r="B10" s="43" t="n"/>
      <c r="C10" s="46">
        <f>IF(SUM($C$45:$C$48)=0,"",SUM($C$45:$C$47)/SUM($C$45:$C$48))</f>
        <v/>
      </c>
      <c r="D10" s="43" t="n"/>
      <c r="E10" s="47">
        <f>IF(ISNUMBER('📊 Inventário de Tempo'!$B$10),SUM($C$45:$C$47)*4.33*'📊 Inventário de Tempo'!$B$10,"—")</f>
        <v/>
      </c>
      <c r="F10" s="9" t="n"/>
      <c r="G10" s="43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</row>
    <row r="11" ht="16" customHeight="1">
      <c r="A11" s="48" t="inlineStr">
        <is>
          <t>que não deveriam estar com você</t>
        </is>
      </c>
      <c r="B11" s="43" t="n"/>
      <c r="C11" s="48" t="inlineStr">
        <is>
          <t>gasto fora da cadeira de CEO</t>
        </is>
      </c>
      <c r="D11" s="43" t="n"/>
      <c r="E11" s="48" t="inlineStr">
        <is>
          <t>ao seu próprio custo por hora</t>
        </is>
      </c>
      <c r="F11" s="9" t="n"/>
      <c r="G11" s="43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</row>
    <row r="12" ht="8" customHeight="1">
      <c r="A12" s="12" t="n"/>
      <c r="B12" s="43" t="n"/>
      <c r="C12" s="12" t="n"/>
      <c r="D12" s="43" t="n"/>
      <c r="E12" s="12" t="n"/>
      <c r="F12" s="9" t="n"/>
      <c r="G12" s="43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</row>
    <row r="13" ht="16" customHeight="1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</row>
    <row r="14" ht="22" customHeight="1">
      <c r="A14" s="14" t="inlineStr">
        <is>
          <t>OS 4 QUADRANTES ESTRATÉGICOS</t>
        </is>
      </c>
      <c r="B14" s="15" t="n"/>
      <c r="C14" s="15" t="n"/>
      <c r="D14" s="15" t="n"/>
      <c r="E14" s="15" t="n"/>
      <c r="F14" s="15" t="n"/>
      <c r="G14" s="15" t="n"/>
      <c r="H14" s="1" t="n"/>
      <c r="I14" s="1" t="inlineStr">
        <is>
          <t>TABELA DE APOIO — NÃO EDITAR</t>
        </is>
      </c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</row>
    <row r="15" ht="34" customHeight="1">
      <c r="A15" s="16" t="inlineStr">
        <is>
          <t>ELIMINAR</t>
        </is>
      </c>
      <c r="B15" s="18" t="inlineStr">
        <is>
          <t>Baixo valor + Baixa complexidade</t>
        </is>
      </c>
      <c r="C15" s="17" t="n"/>
      <c r="D15" s="19" t="inlineStr">
        <is>
          <t>Distrações que consomem tempo sem gerar resultado.</t>
        </is>
      </c>
      <c r="E15" s="17" t="n"/>
      <c r="F15" s="17" t="n"/>
      <c r="G15" s="17" t="n"/>
      <c r="H15" s="1" t="n"/>
      <c r="I15" s="1" t="inlineStr">
        <is>
          <t>VALOR \ COMPLEXIDADE</t>
        </is>
      </c>
      <c r="J15" s="1" t="inlineStr">
        <is>
          <t>Baixo</t>
        </is>
      </c>
      <c r="K15" s="1" t="inlineStr">
        <is>
          <t>Médio</t>
        </is>
      </c>
      <c r="L15" s="1" t="inlineStr">
        <is>
          <t>Alto</t>
        </is>
      </c>
      <c r="M15" s="1" t="n"/>
      <c r="N15" s="1" t="n"/>
      <c r="O15" s="1" t="n"/>
      <c r="P15" s="1" t="n"/>
      <c r="Q15" s="1" t="n"/>
      <c r="R15" s="1" t="n"/>
    </row>
    <row r="16" ht="34" customHeight="1">
      <c r="A16" s="20" t="inlineStr">
        <is>
          <t>AUTOMATIZAR</t>
        </is>
      </c>
      <c r="B16" s="18" t="inlineStr">
        <is>
          <t>Alto valor + Baixa complexidade</t>
        </is>
      </c>
      <c r="C16" s="17" t="n"/>
      <c r="D16" s="19" t="inlineStr">
        <is>
          <t>Tarefas repetitivas e de alto valor que podem ser automatizadas.</t>
        </is>
      </c>
      <c r="E16" s="17" t="n"/>
      <c r="F16" s="17" t="n"/>
      <c r="G16" s="17" t="n"/>
      <c r="H16" s="1" t="n"/>
      <c r="I16" s="1" t="inlineStr">
        <is>
          <t>Baixo</t>
        </is>
      </c>
      <c r="J16" s="1" t="inlineStr">
        <is>
          <t>ELIMINAR</t>
        </is>
      </c>
      <c r="K16" s="1" t="inlineStr">
        <is>
          <t>DELEGAR</t>
        </is>
      </c>
      <c r="L16" s="1" t="inlineStr">
        <is>
          <t>DELEGAR</t>
        </is>
      </c>
      <c r="M16" s="1" t="n"/>
      <c r="N16" s="1" t="n"/>
      <c r="O16" s="1" t="n"/>
      <c r="P16" s="1" t="n"/>
      <c r="Q16" s="1" t="n"/>
      <c r="R16" s="1" t="n"/>
    </row>
    <row r="17" ht="34" customHeight="1">
      <c r="A17" s="21" t="inlineStr">
        <is>
          <t>DELEGAR</t>
        </is>
      </c>
      <c r="B17" s="18" t="inlineStr">
        <is>
          <t>Baixo valor + Alta complexidade</t>
        </is>
      </c>
      <c r="C17" s="17" t="n"/>
      <c r="D17" s="19" t="inlineStr">
        <is>
          <t>Tarefas técnicas que não exigem a presença do CEO.</t>
        </is>
      </c>
      <c r="E17" s="17" t="n"/>
      <c r="F17" s="17" t="n"/>
      <c r="G17" s="17" t="n"/>
      <c r="H17" s="1" t="n"/>
      <c r="I17" s="1" t="inlineStr">
        <is>
          <t>Médio</t>
        </is>
      </c>
      <c r="J17" s="1" t="inlineStr">
        <is>
          <t>AUTOMATIZAR</t>
        </is>
      </c>
      <c r="K17" s="1" t="inlineStr">
        <is>
          <t>DELEGAR</t>
        </is>
      </c>
      <c r="L17" s="1" t="inlineStr">
        <is>
          <t>DELEGAR</t>
        </is>
      </c>
      <c r="M17" s="1" t="n"/>
      <c r="N17" s="1" t="n"/>
      <c r="O17" s="1" t="n"/>
      <c r="P17" s="1" t="n"/>
      <c r="Q17" s="1" t="n"/>
      <c r="R17" s="1" t="n"/>
    </row>
    <row r="18" ht="34" customHeight="1">
      <c r="A18" s="22" t="inlineStr">
        <is>
          <t>MANTER — FOCO DO CEO</t>
        </is>
      </c>
      <c r="B18" s="18" t="inlineStr">
        <is>
          <t>Alto valor + Alta complexidade</t>
        </is>
      </c>
      <c r="C18" s="17" t="n"/>
      <c r="D18" s="19" t="inlineStr">
        <is>
          <t>Estratégia, visão, grandes negociações e decisões de alto impacto.</t>
        </is>
      </c>
      <c r="E18" s="17" t="n"/>
      <c r="F18" s="17" t="n"/>
      <c r="G18" s="17" t="n"/>
      <c r="H18" s="1" t="n"/>
      <c r="I18" s="1" t="inlineStr">
        <is>
          <t>Alto</t>
        </is>
      </c>
      <c r="J18" s="1" t="inlineStr">
        <is>
          <t>AUTOMATIZAR</t>
        </is>
      </c>
      <c r="K18" s="1" t="inlineStr">
        <is>
          <t>MANTER — FOCO DO CEO</t>
        </is>
      </c>
      <c r="L18" s="1" t="inlineStr">
        <is>
          <t>MANTER — FOCO DO CEO</t>
        </is>
      </c>
      <c r="M18" s="1" t="n"/>
      <c r="N18" s="1" t="n"/>
      <c r="O18" s="1" t="n"/>
      <c r="P18" s="1" t="n"/>
      <c r="Q18" s="1" t="n"/>
      <c r="R18" s="1" t="n"/>
    </row>
    <row r="19" ht="16" customHeight="1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</row>
    <row r="20" ht="22" customHeight="1">
      <c r="A20" s="14" t="inlineStr">
        <is>
          <t>CATEGORIZAÇÃO DAS SUAS ATIVIDADES  ·  preenchida automaticamente pelo Inventário</t>
        </is>
      </c>
      <c r="B20" s="15" t="n"/>
      <c r="C20" s="15" t="n"/>
      <c r="D20" s="15" t="n"/>
      <c r="E20" s="15" t="n"/>
      <c r="F20" s="15" t="n"/>
      <c r="G20" s="15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</row>
    <row r="21" ht="32" customHeight="1">
      <c r="A21" s="33" t="inlineStr">
        <is>
          <t>ATIVIDADE
(automático)</t>
        </is>
      </c>
      <c r="B21" s="33" t="inlineStr">
        <is>
          <t>VALOR
(automático)</t>
        </is>
      </c>
      <c r="C21" s="33" t="inlineStr">
        <is>
          <t>COMPLEXIDADE
(automático)</t>
        </is>
      </c>
      <c r="D21" s="33" t="inlineStr">
        <is>
          <t>QUADRANTE RESULTANTE
(automático)</t>
        </is>
      </c>
      <c r="E21" s="33" t="inlineStr">
        <is>
          <t>AÇÃO IMEDIATA</t>
        </is>
      </c>
      <c r="F21" s="33" t="inlineStr">
        <is>
          <t>PRAZO</t>
        </is>
      </c>
      <c r="G21" s="33" t="inlineStr">
        <is>
          <t>RESPONSÁVEL</t>
        </is>
      </c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</row>
    <row r="22" ht="20" customHeight="1">
      <c r="A22" s="49">
        <f>IF('📊 Inventário de Tempo'!A13="","",'📊 Inventário de Tempo'!A13)</f>
        <v/>
      </c>
      <c r="B22" s="50">
        <f>IF($A22="","",'📊 Inventário de Tempo'!D13)</f>
        <v/>
      </c>
      <c r="C22" s="50">
        <f>IF($A22="","",'📊 Inventário de Tempo'!C13)</f>
        <v/>
      </c>
      <c r="D22" s="51">
        <f>IF(OR($B22="",$C22=""),"",INDEX($J$16:$L$18,MATCH($B22,$I$16:$I$18,0),MATCH($C22,$J$15:$L$15,0)))</f>
        <v/>
      </c>
      <c r="E22" s="34" t="n"/>
      <c r="F22" s="36" t="n"/>
      <c r="G22" s="34" t="n"/>
      <c r="H22" s="52">
        <f>IF($A22="",0,'📊 Inventário de Tempo'!B13)</f>
        <v/>
      </c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</row>
    <row r="23" ht="20" customHeight="1">
      <c r="A23" s="53">
        <f>IF('📊 Inventário de Tempo'!A14="","",'📊 Inventário de Tempo'!A14)</f>
        <v/>
      </c>
      <c r="B23" s="54">
        <f>IF($A23="","",'📊 Inventário de Tempo'!D14)</f>
        <v/>
      </c>
      <c r="C23" s="54">
        <f>IF($A23="","",'📊 Inventário de Tempo'!C14)</f>
        <v/>
      </c>
      <c r="D23" s="55">
        <f>IF(OR($B23="",$C23=""),"",INDEX($J$16:$L$18,MATCH($B23,$I$16:$I$18,0),MATCH($C23,$J$15:$L$15,0)))</f>
        <v/>
      </c>
      <c r="E23" s="34" t="n"/>
      <c r="F23" s="36" t="n"/>
      <c r="G23" s="34" t="n"/>
      <c r="H23" s="52">
        <f>IF($A23="",0,'📊 Inventário de Tempo'!B14)</f>
        <v/>
      </c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</row>
    <row r="24" ht="20" customHeight="1">
      <c r="A24" s="49">
        <f>IF('📊 Inventário de Tempo'!A15="","",'📊 Inventário de Tempo'!A15)</f>
        <v/>
      </c>
      <c r="B24" s="50">
        <f>IF($A24="","",'📊 Inventário de Tempo'!D15)</f>
        <v/>
      </c>
      <c r="C24" s="50">
        <f>IF($A24="","",'📊 Inventário de Tempo'!C15)</f>
        <v/>
      </c>
      <c r="D24" s="51">
        <f>IF(OR($B24="",$C24=""),"",INDEX($J$16:$L$18,MATCH($B24,$I$16:$I$18,0),MATCH($C24,$J$15:$L$15,0)))</f>
        <v/>
      </c>
      <c r="E24" s="34" t="n"/>
      <c r="F24" s="36" t="n"/>
      <c r="G24" s="34" t="n"/>
      <c r="H24" s="52">
        <f>IF($A24="",0,'📊 Inventário de Tempo'!B15)</f>
        <v/>
      </c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</row>
    <row r="25" ht="20" customHeight="1">
      <c r="A25" s="53">
        <f>IF('📊 Inventário de Tempo'!A16="","",'📊 Inventário de Tempo'!A16)</f>
        <v/>
      </c>
      <c r="B25" s="54">
        <f>IF($A25="","",'📊 Inventário de Tempo'!D16)</f>
        <v/>
      </c>
      <c r="C25" s="54">
        <f>IF($A25="","",'📊 Inventário de Tempo'!C16)</f>
        <v/>
      </c>
      <c r="D25" s="55">
        <f>IF(OR($B25="",$C25=""),"",INDEX($J$16:$L$18,MATCH($B25,$I$16:$I$18,0),MATCH($C25,$J$15:$L$15,0)))</f>
        <v/>
      </c>
      <c r="E25" s="34" t="n"/>
      <c r="F25" s="36" t="n"/>
      <c r="G25" s="34" t="n"/>
      <c r="H25" s="52">
        <f>IF($A25="",0,'📊 Inventário de Tempo'!B16)</f>
        <v/>
      </c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</row>
    <row r="26" ht="20" customHeight="1">
      <c r="A26" s="49">
        <f>IF('📊 Inventário de Tempo'!A17="","",'📊 Inventário de Tempo'!A17)</f>
        <v/>
      </c>
      <c r="B26" s="50">
        <f>IF($A26="","",'📊 Inventário de Tempo'!D17)</f>
        <v/>
      </c>
      <c r="C26" s="50">
        <f>IF($A26="","",'📊 Inventário de Tempo'!C17)</f>
        <v/>
      </c>
      <c r="D26" s="51">
        <f>IF(OR($B26="",$C26=""),"",INDEX($J$16:$L$18,MATCH($B26,$I$16:$I$18,0),MATCH($C26,$J$15:$L$15,0)))</f>
        <v/>
      </c>
      <c r="E26" s="34" t="n"/>
      <c r="F26" s="36" t="n"/>
      <c r="G26" s="34" t="n"/>
      <c r="H26" s="52">
        <f>IF($A26="",0,'📊 Inventário de Tempo'!B17)</f>
        <v/>
      </c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</row>
    <row r="27" ht="20" customHeight="1">
      <c r="A27" s="53">
        <f>IF('📊 Inventário de Tempo'!A18="","",'📊 Inventário de Tempo'!A18)</f>
        <v/>
      </c>
      <c r="B27" s="54">
        <f>IF($A27="","",'📊 Inventário de Tempo'!D18)</f>
        <v/>
      </c>
      <c r="C27" s="54">
        <f>IF($A27="","",'📊 Inventário de Tempo'!C18)</f>
        <v/>
      </c>
      <c r="D27" s="55">
        <f>IF(OR($B27="",$C27=""),"",INDEX($J$16:$L$18,MATCH($B27,$I$16:$I$18,0),MATCH($C27,$J$15:$L$15,0)))</f>
        <v/>
      </c>
      <c r="E27" s="34" t="n"/>
      <c r="F27" s="36" t="n"/>
      <c r="G27" s="34" t="n"/>
      <c r="H27" s="52">
        <f>IF($A27="",0,'📊 Inventário de Tempo'!B18)</f>
        <v/>
      </c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</row>
    <row r="28" ht="20" customHeight="1">
      <c r="A28" s="49">
        <f>IF('📊 Inventário de Tempo'!A19="","",'📊 Inventário de Tempo'!A19)</f>
        <v/>
      </c>
      <c r="B28" s="50">
        <f>IF($A28="","",'📊 Inventário de Tempo'!D19)</f>
        <v/>
      </c>
      <c r="C28" s="50">
        <f>IF($A28="","",'📊 Inventário de Tempo'!C19)</f>
        <v/>
      </c>
      <c r="D28" s="51">
        <f>IF(OR($B28="",$C28=""),"",INDEX($J$16:$L$18,MATCH($B28,$I$16:$I$18,0),MATCH($C28,$J$15:$L$15,0)))</f>
        <v/>
      </c>
      <c r="E28" s="34" t="n"/>
      <c r="F28" s="36" t="n"/>
      <c r="G28" s="34" t="n"/>
      <c r="H28" s="52">
        <f>IF($A28="",0,'📊 Inventário de Tempo'!B19)</f>
        <v/>
      </c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</row>
    <row r="29" ht="20" customHeight="1">
      <c r="A29" s="53">
        <f>IF('📊 Inventário de Tempo'!A20="","",'📊 Inventário de Tempo'!A20)</f>
        <v/>
      </c>
      <c r="B29" s="54">
        <f>IF($A29="","",'📊 Inventário de Tempo'!D20)</f>
        <v/>
      </c>
      <c r="C29" s="54">
        <f>IF($A29="","",'📊 Inventário de Tempo'!C20)</f>
        <v/>
      </c>
      <c r="D29" s="55">
        <f>IF(OR($B29="",$C29=""),"",INDEX($J$16:$L$18,MATCH($B29,$I$16:$I$18,0),MATCH($C29,$J$15:$L$15,0)))</f>
        <v/>
      </c>
      <c r="E29" s="34" t="n"/>
      <c r="F29" s="36" t="n"/>
      <c r="G29" s="34" t="n"/>
      <c r="H29" s="52">
        <f>IF($A29="",0,'📊 Inventário de Tempo'!B20)</f>
        <v/>
      </c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</row>
    <row r="30" ht="20" customHeight="1">
      <c r="A30" s="49">
        <f>IF('📊 Inventário de Tempo'!A21="","",'📊 Inventário de Tempo'!A21)</f>
        <v/>
      </c>
      <c r="B30" s="50">
        <f>IF($A30="","",'📊 Inventário de Tempo'!D21)</f>
        <v/>
      </c>
      <c r="C30" s="50">
        <f>IF($A30="","",'📊 Inventário de Tempo'!C21)</f>
        <v/>
      </c>
      <c r="D30" s="51">
        <f>IF(OR($B30="",$C30=""),"",INDEX($J$16:$L$18,MATCH($B30,$I$16:$I$18,0),MATCH($C30,$J$15:$L$15,0)))</f>
        <v/>
      </c>
      <c r="E30" s="34" t="n"/>
      <c r="F30" s="36" t="n"/>
      <c r="G30" s="34" t="n"/>
      <c r="H30" s="52">
        <f>IF($A30="",0,'📊 Inventário de Tempo'!B21)</f>
        <v/>
      </c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</row>
    <row r="31" ht="20" customHeight="1">
      <c r="A31" s="53">
        <f>IF('📊 Inventário de Tempo'!A22="","",'📊 Inventário de Tempo'!A22)</f>
        <v/>
      </c>
      <c r="B31" s="54">
        <f>IF($A31="","",'📊 Inventário de Tempo'!D22)</f>
        <v/>
      </c>
      <c r="C31" s="54">
        <f>IF($A31="","",'📊 Inventário de Tempo'!C22)</f>
        <v/>
      </c>
      <c r="D31" s="55">
        <f>IF(OR($B31="",$C31=""),"",INDEX($J$16:$L$18,MATCH($B31,$I$16:$I$18,0),MATCH($C31,$J$15:$L$15,0)))</f>
        <v/>
      </c>
      <c r="E31" s="34" t="n"/>
      <c r="F31" s="36" t="n"/>
      <c r="G31" s="34" t="n"/>
      <c r="H31" s="52">
        <f>IF($A31="",0,'📊 Inventário de Tempo'!B22)</f>
        <v/>
      </c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</row>
    <row r="32" ht="20" customHeight="1">
      <c r="A32" s="49">
        <f>IF('📊 Inventário de Tempo'!A23="","",'📊 Inventário de Tempo'!A23)</f>
        <v/>
      </c>
      <c r="B32" s="50">
        <f>IF($A32="","",'📊 Inventário de Tempo'!D23)</f>
        <v/>
      </c>
      <c r="C32" s="50">
        <f>IF($A32="","",'📊 Inventário de Tempo'!C23)</f>
        <v/>
      </c>
      <c r="D32" s="51">
        <f>IF(OR($B32="",$C32=""),"",INDEX($J$16:$L$18,MATCH($B32,$I$16:$I$18,0),MATCH($C32,$J$15:$L$15,0)))</f>
        <v/>
      </c>
      <c r="E32" s="34" t="n"/>
      <c r="F32" s="36" t="n"/>
      <c r="G32" s="34" t="n"/>
      <c r="H32" s="52">
        <f>IF($A32="",0,'📊 Inventário de Tempo'!B23)</f>
        <v/>
      </c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</row>
    <row r="33" ht="20" customHeight="1">
      <c r="A33" s="53">
        <f>IF('📊 Inventário de Tempo'!A24="","",'📊 Inventário de Tempo'!A24)</f>
        <v/>
      </c>
      <c r="B33" s="54">
        <f>IF($A33="","",'📊 Inventário de Tempo'!D24)</f>
        <v/>
      </c>
      <c r="C33" s="54">
        <f>IF($A33="","",'📊 Inventário de Tempo'!C24)</f>
        <v/>
      </c>
      <c r="D33" s="55">
        <f>IF(OR($B33="",$C33=""),"",INDEX($J$16:$L$18,MATCH($B33,$I$16:$I$18,0),MATCH($C33,$J$15:$L$15,0)))</f>
        <v/>
      </c>
      <c r="E33" s="34" t="n"/>
      <c r="F33" s="36" t="n"/>
      <c r="G33" s="34" t="n"/>
      <c r="H33" s="52">
        <f>IF($A33="",0,'📊 Inventário de Tempo'!B24)</f>
        <v/>
      </c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</row>
    <row r="34" ht="20" customHeight="1">
      <c r="A34" s="49">
        <f>IF('📊 Inventário de Tempo'!A25="","",'📊 Inventário de Tempo'!A25)</f>
        <v/>
      </c>
      <c r="B34" s="50">
        <f>IF($A34="","",'📊 Inventário de Tempo'!D25)</f>
        <v/>
      </c>
      <c r="C34" s="50">
        <f>IF($A34="","",'📊 Inventário de Tempo'!C25)</f>
        <v/>
      </c>
      <c r="D34" s="51">
        <f>IF(OR($B34="",$C34=""),"",INDEX($J$16:$L$18,MATCH($B34,$I$16:$I$18,0),MATCH($C34,$J$15:$L$15,0)))</f>
        <v/>
      </c>
      <c r="E34" s="34" t="n"/>
      <c r="F34" s="36" t="n"/>
      <c r="G34" s="34" t="n"/>
      <c r="H34" s="52">
        <f>IF($A34="",0,'📊 Inventário de Tempo'!B25)</f>
        <v/>
      </c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</row>
    <row r="35" ht="20" customHeight="1">
      <c r="A35" s="53">
        <f>IF('📊 Inventário de Tempo'!A26="","",'📊 Inventário de Tempo'!A26)</f>
        <v/>
      </c>
      <c r="B35" s="54">
        <f>IF($A35="","",'📊 Inventário de Tempo'!D26)</f>
        <v/>
      </c>
      <c r="C35" s="54">
        <f>IF($A35="","",'📊 Inventário de Tempo'!C26)</f>
        <v/>
      </c>
      <c r="D35" s="55">
        <f>IF(OR($B35="",$C35=""),"",INDEX($J$16:$L$18,MATCH($B35,$I$16:$I$18,0),MATCH($C35,$J$15:$L$15,0)))</f>
        <v/>
      </c>
      <c r="E35" s="34" t="n"/>
      <c r="F35" s="36" t="n"/>
      <c r="G35" s="34" t="n"/>
      <c r="H35" s="52">
        <f>IF($A35="",0,'📊 Inventário de Tempo'!B26)</f>
        <v/>
      </c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</row>
    <row r="36" ht="20" customHeight="1">
      <c r="A36" s="49">
        <f>IF('📊 Inventário de Tempo'!A27="","",'📊 Inventário de Tempo'!A27)</f>
        <v/>
      </c>
      <c r="B36" s="50">
        <f>IF($A36="","",'📊 Inventário de Tempo'!D27)</f>
        <v/>
      </c>
      <c r="C36" s="50">
        <f>IF($A36="","",'📊 Inventário de Tempo'!C27)</f>
        <v/>
      </c>
      <c r="D36" s="51">
        <f>IF(OR($B36="",$C36=""),"",INDEX($J$16:$L$18,MATCH($B36,$I$16:$I$18,0),MATCH($C36,$J$15:$L$15,0)))</f>
        <v/>
      </c>
      <c r="E36" s="34" t="n"/>
      <c r="F36" s="36" t="n"/>
      <c r="G36" s="34" t="n"/>
      <c r="H36" s="52">
        <f>IF($A36="",0,'📊 Inventário de Tempo'!B27)</f>
        <v/>
      </c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</row>
    <row r="37" ht="20" customHeight="1">
      <c r="A37" s="53">
        <f>IF('📊 Inventário de Tempo'!A28="","",'📊 Inventário de Tempo'!A28)</f>
        <v/>
      </c>
      <c r="B37" s="54">
        <f>IF($A37="","",'📊 Inventário de Tempo'!D28)</f>
        <v/>
      </c>
      <c r="C37" s="54">
        <f>IF($A37="","",'📊 Inventário de Tempo'!C28)</f>
        <v/>
      </c>
      <c r="D37" s="55">
        <f>IF(OR($B37="",$C37=""),"",INDEX($J$16:$L$18,MATCH($B37,$I$16:$I$18,0),MATCH($C37,$J$15:$L$15,0)))</f>
        <v/>
      </c>
      <c r="E37" s="34" t="n"/>
      <c r="F37" s="36" t="n"/>
      <c r="G37" s="34" t="n"/>
      <c r="H37" s="52">
        <f>IF($A37="",0,'📊 Inventário de Tempo'!B28)</f>
        <v/>
      </c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</row>
    <row r="38" ht="20" customHeight="1">
      <c r="A38" s="49">
        <f>IF('📊 Inventário de Tempo'!A29="","",'📊 Inventário de Tempo'!A29)</f>
        <v/>
      </c>
      <c r="B38" s="50">
        <f>IF($A38="","",'📊 Inventário de Tempo'!D29)</f>
        <v/>
      </c>
      <c r="C38" s="50">
        <f>IF($A38="","",'📊 Inventário de Tempo'!C29)</f>
        <v/>
      </c>
      <c r="D38" s="51">
        <f>IF(OR($B38="",$C38=""),"",INDEX($J$16:$L$18,MATCH($B38,$I$16:$I$18,0),MATCH($C38,$J$15:$L$15,0)))</f>
        <v/>
      </c>
      <c r="E38" s="34" t="n"/>
      <c r="F38" s="36" t="n"/>
      <c r="G38" s="34" t="n"/>
      <c r="H38" s="52">
        <f>IF($A38="",0,'📊 Inventário de Tempo'!B29)</f>
        <v/>
      </c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</row>
    <row r="39" ht="20" customHeight="1">
      <c r="A39" s="53">
        <f>IF('📊 Inventário de Tempo'!A30="","",'📊 Inventário de Tempo'!A30)</f>
        <v/>
      </c>
      <c r="B39" s="54">
        <f>IF($A39="","",'📊 Inventário de Tempo'!D30)</f>
        <v/>
      </c>
      <c r="C39" s="54">
        <f>IF($A39="","",'📊 Inventário de Tempo'!C30)</f>
        <v/>
      </c>
      <c r="D39" s="55">
        <f>IF(OR($B39="",$C39=""),"",INDEX($J$16:$L$18,MATCH($B39,$I$16:$I$18,0),MATCH($C39,$J$15:$L$15,0)))</f>
        <v/>
      </c>
      <c r="E39" s="34" t="n"/>
      <c r="F39" s="36" t="n"/>
      <c r="G39" s="34" t="n"/>
      <c r="H39" s="52">
        <f>IF($A39="",0,'📊 Inventário de Tempo'!B30)</f>
        <v/>
      </c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</row>
    <row r="40" ht="20" customHeight="1">
      <c r="A40" s="49">
        <f>IF('📊 Inventário de Tempo'!A31="","",'📊 Inventário de Tempo'!A31)</f>
        <v/>
      </c>
      <c r="B40" s="50">
        <f>IF($A40="","",'📊 Inventário de Tempo'!D31)</f>
        <v/>
      </c>
      <c r="C40" s="50">
        <f>IF($A40="","",'📊 Inventário de Tempo'!C31)</f>
        <v/>
      </c>
      <c r="D40" s="51">
        <f>IF(OR($B40="",$C40=""),"",INDEX($J$16:$L$18,MATCH($B40,$I$16:$I$18,0),MATCH($C40,$J$15:$L$15,0)))</f>
        <v/>
      </c>
      <c r="E40" s="34" t="n"/>
      <c r="F40" s="36" t="n"/>
      <c r="G40" s="34" t="n"/>
      <c r="H40" s="52">
        <f>IF($A40="",0,'📊 Inventário de Tempo'!B31)</f>
        <v/>
      </c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</row>
    <row r="41" ht="20" customHeight="1">
      <c r="A41" s="53">
        <f>IF('📊 Inventário de Tempo'!A32="","",'📊 Inventário de Tempo'!A32)</f>
        <v/>
      </c>
      <c r="B41" s="54">
        <f>IF($A41="","",'📊 Inventário de Tempo'!D32)</f>
        <v/>
      </c>
      <c r="C41" s="54">
        <f>IF($A41="","",'📊 Inventário de Tempo'!C32)</f>
        <v/>
      </c>
      <c r="D41" s="55">
        <f>IF(OR($B41="",$C41=""),"",INDEX($J$16:$L$18,MATCH($B41,$I$16:$I$18,0),MATCH($C41,$J$15:$L$15,0)))</f>
        <v/>
      </c>
      <c r="E41" s="34" t="n"/>
      <c r="F41" s="36" t="n"/>
      <c r="G41" s="34" t="n"/>
      <c r="H41" s="52">
        <f>IF($A41="",0,'📊 Inventário de Tempo'!B32)</f>
        <v/>
      </c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</row>
    <row r="42" ht="16" customHeight="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</row>
    <row r="43" ht="22" customHeight="1">
      <c r="A43" s="14" t="inlineStr">
        <is>
          <t>DIAGNÓSTICO CONSOLIDADO</t>
        </is>
      </c>
      <c r="B43" s="15" t="n"/>
      <c r="C43" s="15" t="n"/>
      <c r="D43" s="15" t="n"/>
      <c r="E43" s="15" t="n"/>
      <c r="F43" s="15" t="n"/>
      <c r="G43" s="15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</row>
    <row r="44" ht="24" customHeight="1">
      <c r="A44" s="33" t="inlineStr">
        <is>
          <t>QUADRANTE</t>
        </is>
      </c>
      <c r="B44" s="33" t="inlineStr">
        <is>
          <t>Nº DE TAREFAS</t>
        </is>
      </c>
      <c r="C44" s="33" t="inlineStr">
        <is>
          <t>HORAS / SEMANA</t>
        </is>
      </c>
      <c r="D44" s="33" t="inlineStr">
        <is>
          <t>% DO SEU TEMPO</t>
        </is>
      </c>
      <c r="E44" s="56" t="inlineStr"/>
      <c r="F44" s="56" t="inlineStr"/>
      <c r="G44" s="56" t="inlineStr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</row>
    <row r="45" ht="24" customHeight="1">
      <c r="A45" s="57" t="inlineStr">
        <is>
          <t>ELIMINAR</t>
        </is>
      </c>
      <c r="B45" s="58">
        <f>COUNTIF($D$22:$D$41,$A45)</f>
        <v/>
      </c>
      <c r="C45" s="59">
        <f>SUMIF($D$22:$D$41,$A45,$H$22:$H$41)</f>
        <v/>
      </c>
      <c r="D45" s="60">
        <f>IF(SUM($C$45:$C$48)=0,"",C45/SUM($C$45:$C$48))</f>
        <v/>
      </c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</row>
    <row r="46" ht="24" customHeight="1">
      <c r="A46" s="61" t="inlineStr">
        <is>
          <t>AUTOMATIZAR</t>
        </is>
      </c>
      <c r="B46" s="58">
        <f>COUNTIF($D$22:$D$41,$A46)</f>
        <v/>
      </c>
      <c r="C46" s="59">
        <f>SUMIF($D$22:$D$41,$A46,$H$22:$H$41)</f>
        <v/>
      </c>
      <c r="D46" s="60">
        <f>IF(SUM($C$45:$C$48)=0,"",C46/SUM($C$45:$C$48))</f>
        <v/>
      </c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</row>
    <row r="47" ht="24" customHeight="1">
      <c r="A47" s="62" t="inlineStr">
        <is>
          <t>DELEGAR</t>
        </is>
      </c>
      <c r="B47" s="58">
        <f>COUNTIF($D$22:$D$41,$A47)</f>
        <v/>
      </c>
      <c r="C47" s="59">
        <f>SUMIF($D$22:$D$41,$A47,$H$22:$H$41)</f>
        <v/>
      </c>
      <c r="D47" s="60">
        <f>IF(SUM($C$45:$C$48)=0,"",C47/SUM($C$45:$C$48))</f>
        <v/>
      </c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</row>
    <row r="48" ht="24" customHeight="1">
      <c r="A48" s="63" t="inlineStr">
        <is>
          <t>MANTER — FOCO DO CEO</t>
        </is>
      </c>
      <c r="B48" s="58">
        <f>COUNTIF($D$22:$D$41,$A48)</f>
        <v/>
      </c>
      <c r="C48" s="59">
        <f>SUMIF($D$22:$D$41,$A48,$H$22:$H$41)</f>
        <v/>
      </c>
      <c r="D48" s="60">
        <f>IF(SUM($C$45:$C$48)=0,"",C48/SUM($C$45:$C$48))</f>
        <v/>
      </c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</row>
    <row r="49" ht="34" customHeight="1">
      <c r="A49" s="64" t="inlineStr">
        <is>
          <t>HORAS QUE NÃO DEVERIAM ESTAR COM VOCÊ</t>
        </is>
      </c>
      <c r="B49" s="65" t="n"/>
      <c r="C49" s="66">
        <f>SUM($C$45:$C$47)</f>
        <v/>
      </c>
      <c r="D49" s="67">
        <f>IF(SUM($C$45:$C$48)=0,"",SUM($C$45:$C$47)/SUM($C$45:$C$48))</f>
        <v/>
      </c>
      <c r="E49" s="68" t="inlineStr">
        <is>
          <t>Soma de ELIMINAR + AUTOMATIZAR + DELEGAR</t>
        </is>
      </c>
      <c r="F49" s="65" t="n"/>
      <c r="G49" s="65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</row>
    <row r="50" ht="16" customHeight="1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</row>
    <row r="51" ht="22" customHeight="1">
      <c r="A51" s="14" t="inlineStr">
        <is>
          <t>LEITURA VISUAL DO SEU TEMPO</t>
        </is>
      </c>
      <c r="B51" s="15" t="n"/>
      <c r="C51" s="15" t="n"/>
      <c r="D51" s="15" t="n"/>
      <c r="E51" s="15" t="n"/>
      <c r="F51" s="15" t="n"/>
      <c r="G51" s="15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</row>
    <row r="71" ht="16" customHeight="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</row>
    <row r="72" ht="24" customHeight="1">
      <c r="A72" s="23" t="inlineStr">
        <is>
          <t>PLANO CAPITAL BUSINESS  ·  HEWERTON SCHEIDEGGER  ·  USO EXCLUSIVO DOS PARTICIPANTES</t>
        </is>
      </c>
      <c r="B72" s="24" t="n"/>
      <c r="C72" s="24" t="n"/>
      <c r="D72" s="24" t="n"/>
      <c r="E72" s="24" t="n"/>
      <c r="F72" s="24" t="n"/>
      <c r="G72" s="24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</row>
  </sheetData>
  <mergeCells count="28">
    <mergeCell ref="E10:G10"/>
    <mergeCell ref="A14:G14"/>
    <mergeCell ref="B16:C16"/>
    <mergeCell ref="D18:G18"/>
    <mergeCell ref="A11:B11"/>
    <mergeCell ref="A49:B49"/>
    <mergeCell ref="A20:G20"/>
    <mergeCell ref="E9:G9"/>
    <mergeCell ref="D15:G15"/>
    <mergeCell ref="A72:G72"/>
    <mergeCell ref="B18:C18"/>
    <mergeCell ref="A43:G43"/>
    <mergeCell ref="C10:D10"/>
    <mergeCell ref="E11:G11"/>
    <mergeCell ref="E49:G49"/>
    <mergeCell ref="C9:D9"/>
    <mergeCell ref="B17:C17"/>
    <mergeCell ref="A51:G51"/>
    <mergeCell ref="C11:D11"/>
    <mergeCell ref="A7:G7"/>
    <mergeCell ref="D17:G17"/>
    <mergeCell ref="B15:C15"/>
    <mergeCell ref="A3:G3"/>
    <mergeCell ref="A10:B10"/>
    <mergeCell ref="D16:G16"/>
    <mergeCell ref="A2:G2"/>
    <mergeCell ref="A9:B9"/>
    <mergeCell ref="A5:G5"/>
  </mergeCells>
  <conditionalFormatting sqref="D22:D41">
    <cfRule type="cellIs" priority="1" operator="equal" dxfId="1">
      <formula>"ELIMINAR"</formula>
    </cfRule>
    <cfRule type="cellIs" priority="2" operator="equal" dxfId="2">
      <formula>"AUTOMATIZAR"</formula>
    </cfRule>
    <cfRule type="cellIs" priority="3" operator="equal" dxfId="3">
      <formula>"DELEGAR"</formula>
    </cfRule>
    <cfRule type="cellIs" priority="4" operator="equal" dxfId="4">
      <formula>"MANTER — FOCO DO CEO"</formula>
    </cfRule>
  </conditionalFormatting>
  <pageMargins left="0.4" right="0.4" top="0.5" bottom="0.5" header="0.5" footer="0.5"/>
  <pageSetup orientation="landscape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C9A84C"/>
    <outlinePr summaryBelow="1" summaryRight="1"/>
    <pageSetUpPr fitToPage="1"/>
  </sheetPr>
  <dimension ref="A1:Q8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8" customWidth="1" min="1" max="1"/>
    <col width="24" customWidth="1" min="2" max="2"/>
    <col width="18" customWidth="1" min="3" max="3"/>
    <col width="40" customWidth="1" min="4" max="4"/>
    <col width="18" customWidth="1" min="5" max="5"/>
    <col width="18" customWidth="1" min="6" max="6"/>
  </cols>
  <sheetData>
    <row r="1" ht="12" customHeight="1">
      <c r="A1" s="2" t="n"/>
      <c r="B1" s="2" t="n"/>
      <c r="C1" s="2" t="n"/>
      <c r="D1" s="2" t="n"/>
      <c r="E1" s="2" t="n"/>
      <c r="F1" s="2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</row>
    <row r="2" ht="32" customHeight="1">
      <c r="A2" s="25" t="inlineStr">
        <is>
          <t>PLANO DE AÇÃO DE DELEGAÇÃO — A EXECUÇÃO</t>
        </is>
      </c>
      <c r="B2" s="2" t="n"/>
      <c r="C2" s="2" t="n"/>
      <c r="D2" s="2" t="n"/>
      <c r="E2" s="2" t="n"/>
      <c r="F2" s="2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</row>
    <row r="3" ht="18" customHeight="1">
      <c r="A3" s="26" t="inlineStr">
        <is>
          <t>Para cada tarefa categorizada como DELEGAR, defina o plano de transferência</t>
        </is>
      </c>
      <c r="B3" s="2" t="n"/>
      <c r="C3" s="2" t="n"/>
      <c r="D3" s="2" t="n"/>
      <c r="E3" s="2" t="n"/>
      <c r="F3" s="2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</row>
    <row r="4" ht="8" customHeight="1">
      <c r="A4" s="2" t="n"/>
      <c r="B4" s="2" t="n"/>
      <c r="C4" s="2" t="n"/>
      <c r="D4" s="2" t="n"/>
      <c r="E4" s="2" t="n"/>
      <c r="F4" s="2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</row>
    <row r="5" ht="3" customHeight="1">
      <c r="A5" s="7" t="n"/>
      <c r="B5" s="7" t="n"/>
      <c r="C5" s="7" t="n"/>
      <c r="D5" s="7" t="n"/>
      <c r="E5" s="7" t="n"/>
      <c r="F5" s="7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</row>
    <row r="6" ht="14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</row>
    <row r="7" ht="32" customHeight="1">
      <c r="A7" s="33" t="inlineStr">
        <is>
          <t>TAREFA A DELEGAR</t>
        </is>
      </c>
      <c r="B7" s="33" t="inlineStr">
        <is>
          <t>QUEM ASSUMIRÁ
(Nome / Cargo)</t>
        </is>
      </c>
      <c r="C7" s="33" t="inlineStr">
        <is>
          <t>PRAZO PARA
TREINAMENTO</t>
        </is>
      </c>
      <c r="D7" s="33" t="inlineStr">
        <is>
          <t>INDICADOR DE SUCESSO
(como saber se está sendo bem feito)</t>
        </is>
      </c>
      <c r="E7" s="33" t="inlineStr">
        <is>
          <t>DATA DE
TRANSFERÊNCIA</t>
        </is>
      </c>
      <c r="F7" s="33" t="inlineStr">
        <is>
          <t>STATUS</t>
        </is>
      </c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</row>
    <row r="8" ht="24" customHeight="1">
      <c r="A8" s="34" t="n"/>
      <c r="B8" s="34" t="n"/>
      <c r="C8" s="36" t="n"/>
      <c r="D8" s="34" t="n"/>
      <c r="E8" s="69" t="n"/>
      <c r="F8" s="36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</row>
    <row r="9" ht="24" customHeight="1">
      <c r="A9" s="34" t="n"/>
      <c r="B9" s="34" t="n"/>
      <c r="C9" s="36" t="n"/>
      <c r="D9" s="34" t="n"/>
      <c r="E9" s="69" t="n"/>
      <c r="F9" s="36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</row>
    <row r="10" ht="24" customHeight="1">
      <c r="A10" s="34" t="n"/>
      <c r="B10" s="34" t="n"/>
      <c r="C10" s="36" t="n"/>
      <c r="D10" s="34" t="n"/>
      <c r="E10" s="69" t="n"/>
      <c r="F10" s="36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</row>
    <row r="11" ht="24" customHeight="1">
      <c r="A11" s="34" t="n"/>
      <c r="B11" s="34" t="n"/>
      <c r="C11" s="36" t="n"/>
      <c r="D11" s="34" t="n"/>
      <c r="E11" s="69" t="n"/>
      <c r="F11" s="36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</row>
    <row r="12" ht="24" customHeight="1">
      <c r="A12" s="34" t="n"/>
      <c r="B12" s="34" t="n"/>
      <c r="C12" s="36" t="n"/>
      <c r="D12" s="34" t="n"/>
      <c r="E12" s="69" t="n"/>
      <c r="F12" s="36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</row>
    <row r="13" ht="24" customHeight="1">
      <c r="A13" s="34" t="n"/>
      <c r="B13" s="34" t="n"/>
      <c r="C13" s="36" t="n"/>
      <c r="D13" s="34" t="n"/>
      <c r="E13" s="69" t="n"/>
      <c r="F13" s="36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</row>
    <row r="14" ht="24" customHeight="1">
      <c r="A14" s="34" t="n"/>
      <c r="B14" s="34" t="n"/>
      <c r="C14" s="36" t="n"/>
      <c r="D14" s="34" t="n"/>
      <c r="E14" s="69" t="n"/>
      <c r="F14" s="36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</row>
    <row r="15" ht="24" customHeight="1">
      <c r="A15" s="34" t="n"/>
      <c r="B15" s="34" t="n"/>
      <c r="C15" s="36" t="n"/>
      <c r="D15" s="34" t="n"/>
      <c r="E15" s="69" t="n"/>
      <c r="F15" s="36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</row>
    <row r="16" ht="24" customHeight="1">
      <c r="A16" s="34" t="n"/>
      <c r="B16" s="34" t="n"/>
      <c r="C16" s="36" t="n"/>
      <c r="D16" s="34" t="n"/>
      <c r="E16" s="69" t="n"/>
      <c r="F16" s="36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</row>
    <row r="17" ht="24" customHeight="1">
      <c r="A17" s="34" t="n"/>
      <c r="B17" s="34" t="n"/>
      <c r="C17" s="36" t="n"/>
      <c r="D17" s="34" t="n"/>
      <c r="E17" s="69" t="n"/>
      <c r="F17" s="36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</row>
    <row r="18" ht="24" customHeight="1">
      <c r="A18" s="34" t="n"/>
      <c r="B18" s="34" t="n"/>
      <c r="C18" s="36" t="n"/>
      <c r="D18" s="34" t="n"/>
      <c r="E18" s="69" t="n"/>
      <c r="F18" s="36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</row>
    <row r="19" ht="24" customHeight="1">
      <c r="A19" s="34" t="n"/>
      <c r="B19" s="34" t="n"/>
      <c r="C19" s="36" t="n"/>
      <c r="D19" s="34" t="n"/>
      <c r="E19" s="69" t="n"/>
      <c r="F19" s="36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</row>
    <row r="20" ht="24" customHeight="1">
      <c r="A20" s="34" t="n"/>
      <c r="B20" s="34" t="n"/>
      <c r="C20" s="36" t="n"/>
      <c r="D20" s="34" t="n"/>
      <c r="E20" s="69" t="n"/>
      <c r="F20" s="36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</row>
    <row r="21" ht="24" customHeight="1">
      <c r="A21" s="34" t="n"/>
      <c r="B21" s="34" t="n"/>
      <c r="C21" s="36" t="n"/>
      <c r="D21" s="34" t="n"/>
      <c r="E21" s="69" t="n"/>
      <c r="F21" s="36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</row>
    <row r="22" ht="24" customHeight="1">
      <c r="A22" s="34" t="n"/>
      <c r="B22" s="34" t="n"/>
      <c r="C22" s="36" t="n"/>
      <c r="D22" s="34" t="n"/>
      <c r="E22" s="69" t="n"/>
      <c r="F22" s="36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</row>
    <row r="23" ht="16" customHeight="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</row>
    <row r="24" ht="46" customHeight="1">
      <c r="A24" s="70" t="inlineStr">
        <is>
          <t>"Traga este plano preenchido para a masterclass do dia 1º de setembro. O diagnóstico que você fará com essa ferramenta vai mudar a sua percepção sobre o seu próprio negócio."</t>
        </is>
      </c>
      <c r="B24" s="9" t="n"/>
      <c r="C24" s="9" t="n"/>
      <c r="D24" s="9" t="n"/>
      <c r="E24" s="9" t="n"/>
      <c r="F24" s="9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</row>
    <row r="25" ht="16" customHeight="1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</row>
    <row r="26" ht="24" customHeight="1">
      <c r="A26" s="23" t="inlineStr">
        <is>
          <t>PLANO CAPITAL BUSINESS  ·  HEWERTON SCHEIDEGGER  ·  USO EXCLUSIVO DOS PARTICIPANTES</t>
        </is>
      </c>
      <c r="B26" s="24" t="n"/>
      <c r="C26" s="24" t="n"/>
      <c r="D26" s="24" t="n"/>
      <c r="E26" s="24" t="n"/>
      <c r="F26" s="24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</row>
  </sheetData>
  <mergeCells count="5">
    <mergeCell ref="A24:F24"/>
    <mergeCell ref="A2:F2"/>
    <mergeCell ref="A5:F5"/>
    <mergeCell ref="A26:F26"/>
    <mergeCell ref="A3:F3"/>
  </mergeCells>
  <conditionalFormatting sqref="F8:F22">
    <cfRule type="cellIs" priority="1" operator="equal" dxfId="5">
      <formula>"Não iniciado"</formula>
    </cfRule>
    <cfRule type="cellIs" priority="2" operator="equal" dxfId="6">
      <formula>"Em treinamento"</formula>
    </cfRule>
    <cfRule type="cellIs" priority="3" operator="equal" dxfId="2">
      <formula>"Transferido"</formula>
    </cfRule>
    <cfRule type="cellIs" priority="4" operator="equal" dxfId="4">
      <formula>"Concluído"</formula>
    </cfRule>
  </conditionalFormatting>
  <dataValidations count="1">
    <dataValidation sqref="F8:F22" showDropDown="0" showInputMessage="0" showErrorMessage="1" allowBlank="1" type="list">
      <formula1>"Não iniciado,Em treinamento,Transferido,Concluído"</formula1>
    </dataValidation>
  </dataValidations>
  <pageMargins left="0.4" right="0.4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Plano Capital Business — Hewerton Scheidegger</dc:creator>
  <dc:title>Matriz de Delegação Estratégica</dc:title>
  <dc:description>Bônus 02 — Masterclass Escala Inteligente</dc:description>
  <dcterms:created xsi:type="dcterms:W3CDTF">2026-08-24T03:24:35Z</dcterms:created>
  <dcterms:modified xsi:type="dcterms:W3CDTF">2026-08-24T03:24:36Z</dcterms:modified>
</cp:coreProperties>
</file>